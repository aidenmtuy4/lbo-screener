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LBO" sheetId="3" state="visible" r:id="rId5"/>
    <sheet name="Sensitivity" sheetId="4" state="visible" r:id="rId6"/>
    <sheet name="Screen 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1" authorId="0">
      <text>
        <r>
          <rPr>
            <sz val="10"/>
            <rFont val="Arial"/>
            <family val="2"/>
          </rPr>
          <t xml:space="preserve">FY2026A column shows pro forma balances at deal close</t>
        </r>
      </text>
    </comment>
    <comment ref="B6" authorId="0">
      <text>
        <r>
          <rPr>
            <sz val="10"/>
            <rFont val="Arial"/>
            <family val="2"/>
          </rPr>
          <t xml:space="preserve">FY2025 Gen Ed revenue $1,448.7mm (FY2026 earnings release)</t>
        </r>
      </text>
    </comment>
    <comment ref="B7" authorId="0">
      <text>
        <r>
          <rPr>
            <sz val="10"/>
            <rFont val="Arial"/>
            <family val="2"/>
          </rPr>
          <t xml:space="preserve">FY2025 Career Learning revenue $956.6mm (FY2026 earnings release)</t>
        </r>
      </text>
    </comment>
    <comment ref="B17" authorId="0">
      <text>
        <r>
          <rPr>
            <sz val="10"/>
            <rFont val="Arial"/>
            <family val="2"/>
          </rPr>
          <t xml:space="preserve">FY2025 total revenue $2,405.3mm (FY2026 earnings release)</t>
        </r>
      </text>
    </comment>
    <comment ref="B59" authorId="0">
      <text>
        <r>
          <rPr>
            <sz val="10"/>
            <rFont val="Arial"/>
            <family val="2"/>
          </rPr>
          <t xml:space="preserve">Equity purchase price + debt - cash - marketable securities</t>
        </r>
      </text>
    </comment>
    <comment ref="B63" authorId="0">
      <text>
        <r>
          <rPr>
            <sz val="10"/>
            <rFont val="Arial"/>
            <family val="2"/>
          </rPr>
          <t xml:space="preserve">Smallest of: (1) max leverage x EBITDA, (2) amount that keeps sponsor equity at the minimum %, (3) amount that keeps EBITDA/interest at the minimum</t>
        </r>
      </text>
    </comment>
    <comment ref="C6" authorId="0">
      <text>
        <r>
          <rPr>
            <sz val="10"/>
            <rFont val="Arial"/>
            <family val="2"/>
          </rPr>
          <t xml:space="preserve">Gen Ed enrollments fell ~2.5% in FY2026; assume modest decline then flat</t>
        </r>
      </text>
    </comment>
    <comment ref="C7" authorId="0">
      <text>
        <r>
          <rPr>
            <sz val="10"/>
            <rFont val="Arial"/>
            <family val="2"/>
          </rPr>
          <t xml:space="preserve">Career Learning enrollments +14% in FY2026; assume growth decays toward high single digits</t>
        </r>
      </text>
    </comment>
    <comment ref="C8" authorId="0">
      <text>
        <r>
          <rPr>
            <sz val="10"/>
            <rFont val="Arial"/>
            <family val="2"/>
          </rPr>
          <t xml:space="preserve">Held flat at FY2026A level -- no margin expansion assumed</t>
        </r>
      </text>
    </comment>
    <comment ref="C21" authorId="0">
      <text>
        <r>
          <rPr>
            <sz val="10"/>
            <rFont val="Arial"/>
            <family val="2"/>
          </rPr>
          <t xml:space="preserve">Interest on beginning-of-year balances (avoids a circular reference)</t>
        </r>
      </text>
    </comment>
    <comment ref="C76" authorId="0">
      <text>
        <r>
          <rPr>
            <sz val="10"/>
            <rFont val="Arial"/>
            <family val="2"/>
          </rPr>
          <t xml:space="preserve">No interim dividends assumed</t>
        </r>
      </text>
    </comment>
  </commentList>
</comments>
</file>

<file path=xl/sharedStrings.xml><?xml version="1.0" encoding="utf-8"?>
<sst xmlns="http://schemas.openxmlformats.org/spreadsheetml/2006/main" count="277" uniqueCount="252">
  <si>
    <t xml:space="preserve">Project Pathfinder -- Take-private of Stride, Inc. (NYSE: LRN)</t>
  </si>
  <si>
    <t xml:space="preserve">Illustrative LBO built from public filings. Not investment advice.</t>
  </si>
  <si>
    <t xml:space="preserve">Key output</t>
  </si>
  <si>
    <t xml:space="preserve">Value</t>
  </si>
  <si>
    <t xml:space="preserve">Note</t>
  </si>
  <si>
    <t xml:space="preserve">Offer price per share</t>
  </si>
  <si>
    <t xml:space="preserve">30% premium to $82.39 (Oct 17, 2026)</t>
  </si>
  <si>
    <t xml:space="preserve">Entry enterprise value ($mm)</t>
  </si>
  <si>
    <t xml:space="preserve">Net of ~$958mm cash + securities</t>
  </si>
  <si>
    <t xml:space="preserve">Entry EV / FY2026 EBITDA</t>
  </si>
  <si>
    <t xml:space="preserve">GAAP EBITDA; SBC not added back</t>
  </si>
  <si>
    <t xml:space="preserve">New debt ($mm)</t>
  </si>
  <si>
    <t xml:space="preserve">Constrained by the 40% minimum equity rule</t>
  </si>
  <si>
    <t xml:space="preserve">New debt / EBITDA</t>
  </si>
  <si>
    <t xml:space="preserve">Sponsor equity ($mm)</t>
  </si>
  <si>
    <t xml:space="preserve">Leverage at exit (debt / EBITDA)</t>
  </si>
  <si>
    <t xml:space="preserve">Shows how much debt the cash flow repays</t>
  </si>
  <si>
    <t xml:space="preserve">MOIC (5-year hold)</t>
  </si>
  <si>
    <t xml:space="preserve">Exit at entry multiple -- no multiple expansion</t>
  </si>
  <si>
    <t xml:space="preserve">IRR (5-year hold)</t>
  </si>
  <si>
    <t xml:space="preserve">Typical PE target: 20%+</t>
  </si>
  <si>
    <t xml:space="preserve">Sources = uses check</t>
  </si>
  <si>
    <t xml:space="preserve">Color key:  blue = hard-coded input  ·  black = formula  ·  green = link to another tab  ·  yellow = key output / lever</t>
  </si>
  <si>
    <t xml:space="preserve">To test a scenario, change the blue cells on the Assumptions tab (e.g. premium, max leverage, exit multiple change).</t>
  </si>
  <si>
    <t xml:space="preserve">Stride, Inc. (LRN) -- LBO Assumptions</t>
  </si>
  <si>
    <t xml:space="preserve">$ in millions except per share. Blue = hard-coded input, black = formula, yellow = key lever.</t>
  </si>
  <si>
    <t xml:space="preserve">Input</t>
  </si>
  <si>
    <t xml:space="preserve">Source / rationale</t>
  </si>
  <si>
    <t xml:space="preserve">Transaction</t>
  </si>
  <si>
    <t xml:space="preserve">Current share price ($)</t>
  </si>
  <si>
    <t xml:space="preserve">Yahoo Finance chart data, pulled Oct 17, 2026 by market_data.py</t>
  </si>
  <si>
    <t xml:space="preserve">Shares outstanding (mm)</t>
  </si>
  <si>
    <t xml:space="preserve">10-K cover page, as of Jul 31, 2026</t>
  </si>
  <si>
    <t xml:space="preserve">Takeover premium</t>
  </si>
  <si>
    <t xml:space="preserve">Typical US take-private premium range is 25-40%</t>
  </si>
  <si>
    <t xml:space="preserve">Transaction fees (% of EV)</t>
  </si>
  <si>
    <t xml:space="preserve">Advisory + financing fees, standard assumption</t>
  </si>
  <si>
    <t xml:space="preserve">Minimum cash left in business</t>
  </si>
  <si>
    <t xml:space="preserve">Operating cash buffer (~4% of revenue)</t>
  </si>
  <si>
    <t xml:space="preserve">Balance sheet at close (Jun 30, 2026)</t>
  </si>
  <si>
    <t xml:space="preserve">Cash and equivalents</t>
  </si>
  <si>
    <t xml:space="preserve">Source: Stride FY2026 earnings release (Aug 2026) / 10-K for FY ended Jun 30, 2026, sec.gov</t>
  </si>
  <si>
    <t xml:space="preserve">Marketable securities</t>
  </si>
  <si>
    <t xml:space="preserve">Convertible senior notes (1.125%, due Sep 2027)</t>
  </si>
  <si>
    <t xml:space="preserve">Source: Stride FY2026 earnings release (Aug 2026) / 10-K for FY ended Jun 30, 2026, sec.gov. Refinanced at close</t>
  </si>
  <si>
    <t xml:space="preserve">Finance lease liabilities</t>
  </si>
  <si>
    <t xml:space="preserve">Source: Stride FY2026 earnings release (Aug 2026) / 10-K for FY ended Jun 30, 2026, sec.gov. Treated as debt, refinanced at close</t>
  </si>
  <si>
    <t xml:space="preserve">FY2026 actuals (fiscal year ended Jun 30, 2026)</t>
  </si>
  <si>
    <t xml:space="preserve">Revenue -- General Education</t>
  </si>
  <si>
    <t xml:space="preserve">Revenue -- Career Learning</t>
  </si>
  <si>
    <t xml:space="preserve">Income from operations (EBIT)</t>
  </si>
  <si>
    <t xml:space="preserve">Depreciation &amp; amortization</t>
  </si>
  <si>
    <t xml:space="preserve">Capex (PP&amp;E + capitalized software + curriculum)</t>
  </si>
  <si>
    <t xml:space="preserve">Source: Stride FY2026 earnings release (Aug 2026) / 10-K for FY ended Jun 30, 2026, sec.gov: 0.6 + 61.6 + 16.7</t>
  </si>
  <si>
    <t xml:space="preserve">Stock-based compensation (memo, NOT added back)</t>
  </si>
  <si>
    <t xml:space="preserve">Conservative: GAAP EBITDA used, so SBC is treated as a real cost a PE owner pays in cash</t>
  </si>
  <si>
    <t xml:space="preserve">Financing</t>
  </si>
  <si>
    <t xml:space="preserve">Max total debt / EBITDA</t>
  </si>
  <si>
    <t xml:space="preserve">Typical leveraged-loan market ceiling for a B-rated borrower</t>
  </si>
  <si>
    <t xml:space="preserve">Minimum sponsor equity (% of funding need)</t>
  </si>
  <si>
    <t xml:space="preserve">Lenders typically require 40-50% equity in current market</t>
  </si>
  <si>
    <t xml:space="preserve">Minimum EBITDA / interest at close</t>
  </si>
  <si>
    <t xml:space="preserve">Rating-agency comfort level</t>
  </si>
  <si>
    <t xml:space="preserve">Term Loan B share of total debt</t>
  </si>
  <si>
    <t xml:space="preserve">Remainder funded with senior notes</t>
  </si>
  <si>
    <t xml:space="preserve">Term Loan B interest rate</t>
  </si>
  <si>
    <t xml:space="preserve">SOFR (~4.25%) + 350bp spread</t>
  </si>
  <si>
    <t xml:space="preserve">Senior notes interest rate</t>
  </si>
  <si>
    <t xml:space="preserve">B-rated high-yield context</t>
  </si>
  <si>
    <t xml:space="preserve">TLB mandatory amortization (% of original / yr)</t>
  </si>
  <si>
    <t xml:space="preserve">Market standard for TLBs</t>
  </si>
  <si>
    <t xml:space="preserve">Excess cash flow sweep to TLB</t>
  </si>
  <si>
    <t xml:space="preserve">100% of free cash flow repays the TLB early</t>
  </si>
  <si>
    <t xml:space="preserve">Operating &amp; exit</t>
  </si>
  <si>
    <t xml:space="preserve">Tax rate</t>
  </si>
  <si>
    <t xml:space="preserve">FY2026 effective rate was ~23%; 25% is conservative</t>
  </si>
  <si>
    <t xml:space="preserve">Working capital investment (% of revenue change)</t>
  </si>
  <si>
    <t xml:space="preserve">Receivables from school districts grow with revenue</t>
  </si>
  <si>
    <t xml:space="preserve">Exit multiple change vs. entry (x)</t>
  </si>
  <si>
    <t xml:space="preserve">0 = exit at the entry multiple (no multiple expansion)</t>
  </si>
  <si>
    <t xml:space="preserve">Stride, Inc. (LRN) -- Leveraged Buyout Model</t>
  </si>
  <si>
    <t xml:space="preserve">$ in millions. Fiscal years end June 30.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</si>
  <si>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</si>
  <si>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</si>
  <si>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</si>
  <si>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</si>
  <si>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</si>
  <si>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</si>
  <si>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Operating drivers</t>
  </si>
  <si>
    <t xml:space="preserve">   General Education revenue growth</t>
  </si>
  <si>
    <t xml:space="preserve">   Career Learning revenue growth</t>
  </si>
  <si>
    <t xml:space="preserve">   EBITDA margin</t>
  </si>
  <si>
    <t xml:space="preserve">   D&amp;A % of revenue</t>
  </si>
  <si>
    <t xml:space="preserve">   Capex % of revenue</t>
  </si>
  <si>
    <t xml:space="preserve">Income statement &amp; free cash flow</t>
  </si>
  <si>
    <t xml:space="preserve">   General Education revenue</t>
  </si>
  <si>
    <t xml:space="preserve">   Career Learning revenue</t>
  </si>
  <si>
    <t xml:space="preserve">Total revenue</t>
  </si>
  <si>
    <t xml:space="preserve">   Revenue growth</t>
  </si>
  <si>
    <t xml:space="preserve">EBITDA</t>
  </si>
  <si>
    <t xml:space="preserve">   Less: D&amp;A</t>
  </si>
  <si>
    <t xml:space="preserve">EBIT</t>
  </si>
  <si>
    <t xml:space="preserve">   Less: Interest expense</t>
  </si>
  <si>
    <t xml:space="preserve">Pre-tax income</t>
  </si>
  <si>
    <t xml:space="preserve">   Less: Taxes</t>
  </si>
  <si>
    <t xml:space="preserve">Net income</t>
  </si>
  <si>
    <t xml:space="preserve">   Plus: D&amp;A</t>
  </si>
  <si>
    <t xml:space="preserve">   Less: Capex</t>
  </si>
  <si>
    <t xml:space="preserve">   Less: Increase in working capital</t>
  </si>
  <si>
    <t xml:space="preserve">Levered free cash flow</t>
  </si>
  <si>
    <t xml:space="preserve">Debt schedule</t>
  </si>
  <si>
    <t xml:space="preserve">   Term Loan B -- beginning</t>
  </si>
  <si>
    <t xml:space="preserve">      Mandatory amortization</t>
  </si>
  <si>
    <t xml:space="preserve">      Optional repayment (cash sweep)</t>
  </si>
  <si>
    <t xml:space="preserve">   Term Loan B -- ending</t>
  </si>
  <si>
    <t xml:space="preserve">   Senior notes</t>
  </si>
  <si>
    <t xml:space="preserve">Total debt</t>
  </si>
  <si>
    <t xml:space="preserve">Cash balance</t>
  </si>
  <si>
    <t xml:space="preserve">Net debt</t>
  </si>
  <si>
    <t xml:space="preserve">   Total debt / EBITDA</t>
  </si>
  <si>
    <t xml:space="preserve">   Net debt / EBITDA</t>
  </si>
  <si>
    <t xml:space="preserve">   EBITDA / interest</t>
  </si>
  <si>
    <t xml:space="preserve">Sources &amp; uses at close</t>
  </si>
  <si>
    <t xml:space="preserve">Uses</t>
  </si>
  <si>
    <t xml:space="preserve">   Offer price per share ($)</t>
  </si>
  <si>
    <t xml:space="preserve">   Purchase of equity</t>
  </si>
  <si>
    <t xml:space="preserve">   Refinance existing debt</t>
  </si>
  <si>
    <t xml:space="preserve">   Transaction fees</t>
  </si>
  <si>
    <t xml:space="preserve">Total uses</t>
  </si>
  <si>
    <t xml:space="preserve">Sources</t>
  </si>
  <si>
    <t xml:space="preserve">   Existing cash used</t>
  </si>
  <si>
    <t xml:space="preserve">   New Term Loan B</t>
  </si>
  <si>
    <t xml:space="preserve">   New senior notes</t>
  </si>
  <si>
    <t xml:space="preserve">   Sponsor equity</t>
  </si>
  <si>
    <t xml:space="preserve">Total sources</t>
  </si>
  <si>
    <t xml:space="preserve">Entry valuation &amp; debt sizing</t>
  </si>
  <si>
    <t xml:space="preserve">   Entry enterprise value</t>
  </si>
  <si>
    <t xml:space="preserve">   FY2026A EBITDA</t>
  </si>
  <si>
    <t xml:space="preserve">   Entry EV / EBITDA</t>
  </si>
  <si>
    <t xml:space="preserve">   Blended interest rate on new debt</t>
  </si>
  <si>
    <t xml:space="preserve">   Total new debt</t>
  </si>
  <si>
    <t xml:space="preserve">   New debt / EBITDA</t>
  </si>
  <si>
    <t xml:space="preserve">   Sponsor equity % of funding need</t>
  </si>
  <si>
    <t xml:space="preserve">Returns (exit at end of FY2031)</t>
  </si>
  <si>
    <t xml:space="preserve">   Exit EV / EBITDA</t>
  </si>
  <si>
    <t xml:space="preserve">   FY2031E EBITDA</t>
  </si>
  <si>
    <t xml:space="preserve">   Exit enterprise value</t>
  </si>
  <si>
    <t xml:space="preserve">   Less: net debt at exit</t>
  </si>
  <si>
    <t xml:space="preserve">   Equity value at exit</t>
  </si>
  <si>
    <t xml:space="preserve">   MOIC</t>
  </si>
  <si>
    <t xml:space="preserve">   IRR</t>
  </si>
  <si>
    <t xml:space="preserve">   Sponsor cash flows</t>
  </si>
  <si>
    <t xml:space="preserve">Returns sensitivity -- exit multiple vs. holding period</t>
  </si>
  <si>
    <t xml:space="preserve">Every cell is a live formula off the LBO tab. Debt paydown path doesn't depend on exit multiple.</t>
  </si>
  <si>
    <t xml:space="preserve">IRR: exit multiple (rows) vs. exit year</t>
  </si>
  <si>
    <t xml:space="preserve">MOIC: exit multiple (rows) vs. exit year</t>
  </si>
  <si>
    <t xml:space="preserve">Exit EV / EBITDA</t>
  </si>
  <si>
    <t xml:space="preserve">Reading the grid: the yellow cell matches the base case on the LBO tab. Moving up one row = selling at a lower multiple than you paid -- the main risk in any LBO.</t>
  </si>
  <si>
    <t xml:space="preserve">Take-private screen: top 25 of 107 candidates, ranked by base-case IRR</t>
  </si>
  <si>
    <t xml:space="preserve">Values (not formulas) produced by screen_and_rank.py from SEC EDGAR XBRL data. Stride's row uses FY2025 data from the screen; the LBO tab uses FY2026 actuals.</t>
  </si>
  <si>
    <t xml:space="preserve">Rank</t>
  </si>
  <si>
    <t xml:space="preserve">Company</t>
  </si>
  <si>
    <t xml:space="preserve">Ticker</t>
  </si>
  <si>
    <t xml:space="preserve">Industry (SIC)</t>
  </si>
  <si>
    <t xml:space="preserve">Mkt cap ($mm)</t>
  </si>
  <si>
    <t xml:space="preserve">EBITDA ($mm)</t>
  </si>
  <si>
    <t xml:space="preserve">EBITDA margin</t>
  </si>
  <si>
    <t xml:space="preserve">Entry EV/EBITDA</t>
  </si>
  <si>
    <t xml:space="preserve">MOIC</t>
  </si>
  <si>
    <t xml:space="preserve">IRR</t>
  </si>
  <si>
    <t xml:space="preserve">Stride, Inc.</t>
  </si>
  <si>
    <t xml:space="preserve">LRN</t>
  </si>
  <si>
    <t xml:space="preserve">Services-Educational Services</t>
  </si>
  <si>
    <t xml:space="preserve">MIMEDX GROUP, INC.</t>
  </si>
  <si>
    <t xml:space="preserve">MDXG</t>
  </si>
  <si>
    <t xml:space="preserve">Surgical &amp; Medical Instruments &amp; Apparatus</t>
  </si>
  <si>
    <t xml:space="preserve">NICE LTD.</t>
  </si>
  <si>
    <t xml:space="preserve">NICE</t>
  </si>
  <si>
    <t xml:space="preserve">Services-Prepackaged Software</t>
  </si>
  <si>
    <t xml:space="preserve">INNOVIVA, INC.</t>
  </si>
  <si>
    <t xml:space="preserve">INVA</t>
  </si>
  <si>
    <t xml:space="preserve">Pharmaceutical Preparations</t>
  </si>
  <si>
    <t xml:space="preserve">YELP INC</t>
  </si>
  <si>
    <t xml:space="preserve">YELP</t>
  </si>
  <si>
    <t xml:space="preserve">Services-Personal Services</t>
  </si>
  <si>
    <t xml:space="preserve">GENTEX CORPORATION</t>
  </si>
  <si>
    <t xml:space="preserve">GNTX</t>
  </si>
  <si>
    <t xml:space="preserve">Motor Vehicle Parts &amp; Accessories</t>
  </si>
  <si>
    <t xml:space="preserve">HARMONY BIOSCIENCES HOLDINGS, INC.</t>
  </si>
  <si>
    <t xml:space="preserve">HRMY</t>
  </si>
  <si>
    <t xml:space="preserve">PERDOCEO EDUCATION CORP</t>
  </si>
  <si>
    <t xml:space="preserve">PRDO</t>
  </si>
  <si>
    <t xml:space="preserve">KORN FERRY</t>
  </si>
  <si>
    <t xml:space="preserve">KFY</t>
  </si>
  <si>
    <t xml:space="preserve">Services-Employment Agencies</t>
  </si>
  <si>
    <t xml:space="preserve">Bristow Group Inc.</t>
  </si>
  <si>
    <t xml:space="preserve">VTOL</t>
  </si>
  <si>
    <t xml:space="preserve">Air Transportation, Nonscheduled</t>
  </si>
  <si>
    <t xml:space="preserve">Abercrombie &amp; Fitch Co.</t>
  </si>
  <si>
    <t xml:space="preserve">ANF</t>
  </si>
  <si>
    <t xml:space="preserve">Retail-Family Clothing Stores</t>
  </si>
  <si>
    <t xml:space="preserve">GENPACT LIMITED</t>
  </si>
  <si>
    <t xml:space="preserve">G</t>
  </si>
  <si>
    <t xml:space="preserve">Services-Management Consulting Services</t>
  </si>
  <si>
    <t xml:space="preserve">BUCKLE, INC</t>
  </si>
  <si>
    <t xml:space="preserve">BKE</t>
  </si>
  <si>
    <t xml:space="preserve">Laureate Education, Inc.</t>
  </si>
  <si>
    <t xml:space="preserve">LAUR</t>
  </si>
  <si>
    <t xml:space="preserve">Payoneer Global Inc.</t>
  </si>
  <si>
    <t xml:space="preserve">PAYO</t>
  </si>
  <si>
    <t xml:space="preserve">Services-Business Services, Nec</t>
  </si>
  <si>
    <t xml:space="preserve">ACI WORLDWIDE, INC.</t>
  </si>
  <si>
    <t xml:space="preserve">ACIW</t>
  </si>
  <si>
    <t xml:space="preserve">ITURAN LOCATION AND CONTROL LTD.</t>
  </si>
  <si>
    <t xml:space="preserve">ITRN</t>
  </si>
  <si>
    <t xml:space="preserve">Wholesale-Electronic Parts &amp; Equipment, Nec</t>
  </si>
  <si>
    <t xml:space="preserve">MUELLER WATER PRODUCTS, INC.</t>
  </si>
  <si>
    <t xml:space="preserve">MWA</t>
  </si>
  <si>
    <t xml:space="preserve">Miscellaneous Fabricated Metal Products</t>
  </si>
  <si>
    <t xml:space="preserve">Lindsay Corporation</t>
  </si>
  <si>
    <t xml:space="preserve">LNN</t>
  </si>
  <si>
    <t xml:space="preserve">Farm Machinery &amp; Equipment</t>
  </si>
  <si>
    <t xml:space="preserve">ADEIA INC.</t>
  </si>
  <si>
    <t xml:space="preserve">ADEA</t>
  </si>
  <si>
    <t xml:space="preserve">Cable &amp; Other Pay Television Services</t>
  </si>
  <si>
    <t xml:space="preserve">ACUITY INC</t>
  </si>
  <si>
    <t xml:space="preserve">AYI</t>
  </si>
  <si>
    <t xml:space="preserve">Electric Lighting &amp; Wiring Equipment</t>
  </si>
  <si>
    <t xml:space="preserve">ALARM.COM HOLDINGS, INC.</t>
  </si>
  <si>
    <t xml:space="preserve">ALRM</t>
  </si>
  <si>
    <t xml:space="preserve">Nextpower Inc.</t>
  </si>
  <si>
    <t xml:space="preserve">NXT</t>
  </si>
  <si>
    <t xml:space="preserve">Semiconductors &amp; Related Devices</t>
  </si>
  <si>
    <t xml:space="preserve">McGRATH RENTCORP</t>
  </si>
  <si>
    <t xml:space="preserve">MGRC</t>
  </si>
  <si>
    <t xml:space="preserve">Services-Equipment Rental &amp; Leasing, Nec</t>
  </si>
  <si>
    <t xml:space="preserve">ARMSTRONG WORLD INDUSTRIES, INC.</t>
  </si>
  <si>
    <t xml:space="preserve">AWI</t>
  </si>
  <si>
    <t xml:space="preserve">Plastics Products, Nec</t>
  </si>
  <si>
    <t xml:space="preserve">Screening funnel</t>
  </si>
  <si>
    <t xml:space="preserve">US companies with FY2025 XBRL financials</t>
  </si>
  <si>
    <t xml:space="preserve">Pass loose pre-screen (EBITDA $25M-$2B, FCF &gt; 0, margin &gt; 8%)</t>
  </si>
  <si>
    <t xml:space="preserve">With a ticker and listed</t>
  </si>
  <si>
    <t xml:space="preserve">Debt data complete (manual checks applied)</t>
  </si>
  <si>
    <t xml:space="preserve">Excl. financials, utilities, oil &amp; gas, shipping, LPs</t>
  </si>
  <si>
    <t xml:space="preserve">Market cap &gt;= $250M</t>
  </si>
  <si>
    <t xml:space="preserve">EBITDA $50M-$1B</t>
  </si>
  <si>
    <t xml:space="preserve">EBITDA margin &gt;= 15%</t>
  </si>
  <si>
    <t xml:space="preserve">FCF / EBITDA &gt;= 40%</t>
  </si>
  <si>
    <t xml:space="preserve">Net debt / EBITDA &lt;= 2.0x</t>
  </si>
  <si>
    <t xml:space="preserve">Revenue growth -5% to +40%</t>
  </si>
  <si>
    <t xml:space="preserve">Profitable both years, no EBIT spike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</si>
</sst>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\$#,##0"/>
    <numFmt numFmtId="167" formatCode="0.0\x;\(0.0&quot;x)&quot;;\-"/>
    <numFmt numFmtId="168" formatCode="0.00\x"/>
    <numFmt numFmtId="169" formatCode="0.0%;\(0.0%\);\-"/>
    <numFmt numFmtId="170" formatCode="#,##0.0;\(#,##0.0\);\-"/>
    <numFmt numFmtId="171" formatCode="\$#,##0.0;&quot;($&quot;#,##0.0\);\-"/>
    <numFmt numFmtId="172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5" t="s">
        <v>3</v>
      </c>
      <c r="C4" s="5"/>
      <c r="D4" s="5" t="s">
        <v>4</v>
      </c>
    </row>
    <row r="5" customFormat="false" ht="15" hidden="false" customHeight="false" outlineLevel="0" collapsed="false">
      <c r="A5" s="6" t="s">
        <v>5</v>
      </c>
      <c r="B5" s="7" t="n">
        <f aca="false">LBO!B46</f>
        <v>107.107</v>
      </c>
      <c r="C5" s="2"/>
      <c r="D5" s="3" t="s">
        <v>6</v>
      </c>
    </row>
    <row r="6" customFormat="false" ht="15" hidden="false" customHeight="false" outlineLevel="0" collapsed="false">
      <c r="A6" s="6" t="s">
        <v>7</v>
      </c>
      <c r="B6" s="8" t="n">
        <f aca="false">LBO!B59</f>
        <v>4028.277318415</v>
      </c>
      <c r="C6" s="2"/>
      <c r="D6" s="3" t="s">
        <v>8</v>
      </c>
    </row>
    <row r="7" customFormat="false" ht="15" hidden="false" customHeight="false" outlineLevel="0" collapsed="false">
      <c r="A7" s="6" t="s">
        <v>9</v>
      </c>
      <c r="B7" s="9" t="n">
        <f aca="false">LBO!B61</f>
        <v>6.97743802652387</v>
      </c>
      <c r="C7" s="2"/>
      <c r="D7" s="3" t="s">
        <v>10</v>
      </c>
    </row>
    <row r="8" customFormat="false" ht="15" hidden="false" customHeight="false" outlineLevel="0" collapsed="false">
      <c r="A8" s="6" t="s">
        <v>11</v>
      </c>
      <c r="B8" s="8" t="n">
        <f aca="false">LBO!B63</f>
        <v>2525.30571886998</v>
      </c>
      <c r="C8" s="2"/>
      <c r="D8" s="3" t="s">
        <v>12</v>
      </c>
    </row>
    <row r="9" customFormat="false" ht="15" hidden="false" customHeight="false" outlineLevel="0" collapsed="false">
      <c r="A9" s="6" t="s">
        <v>13</v>
      </c>
      <c r="B9" s="9" t="n">
        <f aca="false">LBO!B64</f>
        <v>4.37411894928192</v>
      </c>
      <c r="C9" s="2"/>
      <c r="D9" s="3"/>
    </row>
    <row r="10" customFormat="false" ht="15" hidden="false" customHeight="false" outlineLevel="0" collapsed="false">
      <c r="A10" s="6" t="s">
        <v>14</v>
      </c>
      <c r="B10" s="8" t="n">
        <f aca="false">LBO!B55</f>
        <v>1683.53714591332</v>
      </c>
      <c r="C10" s="2"/>
      <c r="D10" s="3"/>
    </row>
    <row r="11" customFormat="false" ht="15" hidden="false" customHeight="false" outlineLevel="0" collapsed="false">
      <c r="A11" s="6" t="s">
        <v>15</v>
      </c>
      <c r="B11" s="9" t="n">
        <f aca="false">LBO!G39</f>
        <v>1.50189084318308</v>
      </c>
      <c r="C11" s="2"/>
      <c r="D11" s="3" t="s">
        <v>16</v>
      </c>
    </row>
    <row r="12" customFormat="false" ht="15" hidden="false" customHeight="false" outlineLevel="0" collapsed="false">
      <c r="A12" s="6" t="s">
        <v>17</v>
      </c>
      <c r="B12" s="10" t="n">
        <f aca="false">LBO!B73</f>
        <v>2.3006260846729</v>
      </c>
      <c r="C12" s="2"/>
      <c r="D12" s="3" t="s">
        <v>18</v>
      </c>
    </row>
    <row r="13" customFormat="false" ht="15" hidden="false" customHeight="false" outlineLevel="0" collapsed="false">
      <c r="A13" s="6" t="s">
        <v>19</v>
      </c>
      <c r="B13" s="11" t="n">
        <f aca="false">LBO!B74</f>
        <v>0.181324491380861</v>
      </c>
      <c r="C13" s="2"/>
      <c r="D13" s="3" t="s">
        <v>20</v>
      </c>
    </row>
    <row r="14" customFormat="false" ht="15" hidden="false" customHeight="false" outlineLevel="0" collapsed="false">
      <c r="A14" s="6" t="s">
        <v>21</v>
      </c>
      <c r="B14" s="12" t="str">
        <f aca="false">LBO!C56</f>
        <v>balances</v>
      </c>
      <c r="C14" s="2"/>
      <c r="D14" s="3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13" t="s">
        <v>22</v>
      </c>
      <c r="B17" s="2"/>
      <c r="C17" s="2"/>
      <c r="D17" s="2"/>
    </row>
    <row r="18" customFormat="false" ht="15" hidden="false" customHeight="false" outlineLevel="0" collapsed="false">
      <c r="A18" s="13" t="s">
        <v>23</v>
      </c>
      <c r="B18" s="2"/>
      <c r="C18" s="2"/>
      <c r="D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24</v>
      </c>
      <c r="B1" s="2"/>
      <c r="C1" s="2"/>
    </row>
    <row r="2" customFormat="false" ht="15" hidden="false" customHeight="false" outlineLevel="0" collapsed="false">
      <c r="A2" s="3" t="s">
        <v>25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26</v>
      </c>
      <c r="B4" s="5" t="s">
        <v>3</v>
      </c>
      <c r="C4" s="5" t="s">
        <v>27</v>
      </c>
    </row>
    <row r="5" customFormat="false" ht="15" hidden="false" customHeight="false" outlineLevel="0" collapsed="false">
      <c r="A5" s="14" t="s">
        <v>28</v>
      </c>
      <c r="B5" s="15"/>
      <c r="C5" s="15"/>
    </row>
    <row r="6" customFormat="false" ht="15" hidden="false" customHeight="false" outlineLevel="0" collapsed="false">
      <c r="A6" s="6" t="s">
        <v>29</v>
      </c>
      <c r="B6" s="16" t="n">
        <v>82.39</v>
      </c>
      <c r="C6" s="3" t="s">
        <v>30</v>
      </c>
    </row>
    <row r="7" customFormat="false" ht="15" hidden="false" customHeight="false" outlineLevel="0" collapsed="false">
      <c r="A7" s="6" t="s">
        <v>31</v>
      </c>
      <c r="B7" s="17" t="n">
        <v>41.559845</v>
      </c>
      <c r="C7" s="3" t="s">
        <v>32</v>
      </c>
    </row>
    <row r="8" customFormat="false" ht="15" hidden="false" customHeight="false" outlineLevel="0" collapsed="false">
      <c r="A8" s="6" t="s">
        <v>33</v>
      </c>
      <c r="B8" s="18" t="n">
        <v>0.3</v>
      </c>
      <c r="C8" s="3" t="s">
        <v>34</v>
      </c>
    </row>
    <row r="9" customFormat="false" ht="15" hidden="false" customHeight="false" outlineLevel="0" collapsed="false">
      <c r="A9" s="6" t="s">
        <v>35</v>
      </c>
      <c r="B9" s="19" t="n">
        <v>0.02</v>
      </c>
      <c r="C9" s="3" t="s">
        <v>36</v>
      </c>
    </row>
    <row r="10" customFormat="false" ht="15" hidden="false" customHeight="false" outlineLevel="0" collapsed="false">
      <c r="A10" s="6" t="s">
        <v>37</v>
      </c>
      <c r="B10" s="20" t="n">
        <v>100</v>
      </c>
      <c r="C10" s="3" t="s">
        <v>38</v>
      </c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14" t="s">
        <v>39</v>
      </c>
      <c r="B12" s="15"/>
      <c r="C12" s="15"/>
    </row>
    <row r="13" customFormat="false" ht="15" hidden="false" customHeight="false" outlineLevel="0" collapsed="false">
      <c r="A13" s="6" t="s">
        <v>40</v>
      </c>
      <c r="B13" s="20" t="n">
        <v>754.501</v>
      </c>
      <c r="C13" s="3" t="s">
        <v>41</v>
      </c>
    </row>
    <row r="14" customFormat="false" ht="15" hidden="false" customHeight="false" outlineLevel="0" collapsed="false">
      <c r="A14" s="6" t="s">
        <v>42</v>
      </c>
      <c r="B14" s="20" t="n">
        <v>203.499</v>
      </c>
      <c r="C14" s="3" t="s">
        <v>41</v>
      </c>
    </row>
    <row r="15" customFormat="false" ht="15" hidden="false" customHeight="false" outlineLevel="0" collapsed="false">
      <c r="A15" s="6" t="s">
        <v>43</v>
      </c>
      <c r="B15" s="20" t="n">
        <v>417.995</v>
      </c>
      <c r="C15" s="3" t="s">
        <v>44</v>
      </c>
    </row>
    <row r="16" customFormat="false" ht="15" hidden="false" customHeight="false" outlineLevel="0" collapsed="false">
      <c r="A16" s="6" t="s">
        <v>45</v>
      </c>
      <c r="B16" s="20" t="n">
        <v>116.932</v>
      </c>
      <c r="C16" s="3" t="s">
        <v>46</v>
      </c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14" t="s">
        <v>47</v>
      </c>
      <c r="B18" s="15"/>
      <c r="C18" s="15"/>
    </row>
    <row r="19" customFormat="false" ht="15" hidden="false" customHeight="false" outlineLevel="0" collapsed="false">
      <c r="A19" s="6" t="s">
        <v>48</v>
      </c>
      <c r="B19" s="20" t="n">
        <v>1417.785</v>
      </c>
      <c r="C19" s="3" t="s">
        <v>41</v>
      </c>
    </row>
    <row r="20" customFormat="false" ht="15" hidden="false" customHeight="false" outlineLevel="0" collapsed="false">
      <c r="A20" s="6" t="s">
        <v>49</v>
      </c>
      <c r="B20" s="20" t="n">
        <v>1100.296</v>
      </c>
      <c r="C20" s="3" t="s">
        <v>41</v>
      </c>
    </row>
    <row r="21" customFormat="false" ht="15" hidden="false" customHeight="false" outlineLevel="0" collapsed="false">
      <c r="A21" s="6" t="s">
        <v>50</v>
      </c>
      <c r="B21" s="20" t="n">
        <v>450.767</v>
      </c>
      <c r="C21" s="3" t="s">
        <v>41</v>
      </c>
    </row>
    <row r="22" customFormat="false" ht="15" hidden="false" customHeight="false" outlineLevel="0" collapsed="false">
      <c r="A22" s="6" t="s">
        <v>51</v>
      </c>
      <c r="B22" s="20" t="n">
        <v>126.562</v>
      </c>
      <c r="C22" s="3" t="s">
        <v>41</v>
      </c>
    </row>
    <row r="23" customFormat="false" ht="15" hidden="false" customHeight="false" outlineLevel="0" collapsed="false">
      <c r="A23" s="6" t="s">
        <v>52</v>
      </c>
      <c r="B23" s="20" t="n">
        <v>78.846</v>
      </c>
      <c r="C23" s="3" t="s">
        <v>53</v>
      </c>
    </row>
    <row r="24" customFormat="false" ht="15" hidden="false" customHeight="false" outlineLevel="0" collapsed="false">
      <c r="A24" s="6" t="s">
        <v>54</v>
      </c>
      <c r="B24" s="20" t="n">
        <v>40.255</v>
      </c>
      <c r="C24" s="3" t="s">
        <v>55</v>
      </c>
    </row>
    <row r="25" customFormat="false" ht="15" hidden="false" customHeight="false" outlineLevel="0" collapsed="false">
      <c r="A25" s="2"/>
      <c r="B25" s="2"/>
      <c r="C25" s="2"/>
    </row>
    <row r="26" customFormat="false" ht="15" hidden="false" customHeight="false" outlineLevel="0" collapsed="false">
      <c r="A26" s="14" t="s">
        <v>56</v>
      </c>
      <c r="B26" s="15"/>
      <c r="C26" s="15"/>
    </row>
    <row r="27" customFormat="false" ht="15" hidden="false" customHeight="false" outlineLevel="0" collapsed="false">
      <c r="A27" s="6" t="s">
        <v>57</v>
      </c>
      <c r="B27" s="21" t="n">
        <v>5</v>
      </c>
      <c r="C27" s="3" t="s">
        <v>58</v>
      </c>
    </row>
    <row r="28" customFormat="false" ht="15" hidden="false" customHeight="false" outlineLevel="0" collapsed="false">
      <c r="A28" s="6" t="s">
        <v>59</v>
      </c>
      <c r="B28" s="19" t="n">
        <v>0.4</v>
      </c>
      <c r="C28" s="3" t="s">
        <v>60</v>
      </c>
    </row>
    <row r="29" customFormat="false" ht="15" hidden="false" customHeight="false" outlineLevel="0" collapsed="false">
      <c r="A29" s="6" t="s">
        <v>61</v>
      </c>
      <c r="B29" s="22" t="n">
        <v>2</v>
      </c>
      <c r="C29" s="3" t="s">
        <v>62</v>
      </c>
    </row>
    <row r="30" customFormat="false" ht="15" hidden="false" customHeight="false" outlineLevel="0" collapsed="false">
      <c r="A30" s="6" t="s">
        <v>63</v>
      </c>
      <c r="B30" s="19" t="n">
        <v>0.7</v>
      </c>
      <c r="C30" s="3" t="s">
        <v>64</v>
      </c>
    </row>
    <row r="31" customFormat="false" ht="15" hidden="false" customHeight="false" outlineLevel="0" collapsed="false">
      <c r="A31" s="6" t="s">
        <v>65</v>
      </c>
      <c r="B31" s="19" t="n">
        <v>0.0775</v>
      </c>
      <c r="C31" s="3" t="s">
        <v>66</v>
      </c>
    </row>
    <row r="32" customFormat="false" ht="15" hidden="false" customHeight="false" outlineLevel="0" collapsed="false">
      <c r="A32" s="6" t="s">
        <v>67</v>
      </c>
      <c r="B32" s="19" t="n">
        <v>0.09</v>
      </c>
      <c r="C32" s="3" t="s">
        <v>68</v>
      </c>
    </row>
    <row r="33" customFormat="false" ht="15" hidden="false" customHeight="false" outlineLevel="0" collapsed="false">
      <c r="A33" s="6" t="s">
        <v>69</v>
      </c>
      <c r="B33" s="19" t="n">
        <v>0.01</v>
      </c>
      <c r="C33" s="3" t="s">
        <v>70</v>
      </c>
    </row>
    <row r="34" customFormat="false" ht="15" hidden="false" customHeight="false" outlineLevel="0" collapsed="false">
      <c r="A34" s="6" t="s">
        <v>71</v>
      </c>
      <c r="B34" s="19" t="n">
        <v>1</v>
      </c>
      <c r="C34" s="3" t="s">
        <v>72</v>
      </c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14" t="s">
        <v>73</v>
      </c>
      <c r="B36" s="15"/>
      <c r="C36" s="15"/>
    </row>
    <row r="37" customFormat="false" ht="15" hidden="false" customHeight="false" outlineLevel="0" collapsed="false">
      <c r="A37" s="6" t="s">
        <v>74</v>
      </c>
      <c r="B37" s="19" t="n">
        <v>0.25</v>
      </c>
      <c r="C37" s="3" t="s">
        <v>75</v>
      </c>
    </row>
    <row r="38" customFormat="false" ht="15" hidden="false" customHeight="false" outlineLevel="0" collapsed="false">
      <c r="A38" s="6" t="s">
        <v>76</v>
      </c>
      <c r="B38" s="19" t="n">
        <v>0.1</v>
      </c>
      <c r="C38" s="3" t="s">
        <v>77</v>
      </c>
    </row>
    <row r="39" customFormat="false" ht="15" hidden="false" customHeight="false" outlineLevel="0" collapsed="false">
      <c r="A39" s="6" t="s">
        <v>78</v>
      </c>
      <c r="B39" s="21" t="n">
        <v>0</v>
      </c>
      <c r="C39" s="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80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81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/>
      <c r="B4" s="5" t="s">
        <v>82</v>
      </c>
      <c r="C4" s="5" t="s">
        <v>83</v>
      </c>
      <c r="D4" s="5" t="s">
        <v>84</v>
      </c>
      <c r="E4" s="5" t="s">
        <v>85</v>
      </c>
      <c r="F4" s="5" t="s">
        <v>86</v>
      </c>
      <c r="G4" s="5" t="s">
        <v>87</v>
      </c>
    </row>
    <row r="5" customFormat="false" ht="15" hidden="false" customHeight="false" outlineLevel="0" collapsed="false">
      <c r="A5" s="14" t="s">
        <v>88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6" t="s">
        <v>89</v>
      </c>
      <c r="B6" s="23" t="n">
        <f aca="false">B14/1448.676-1</f>
        <v>-0.021323608591569</v>
      </c>
      <c r="C6" s="19" t="n">
        <v>-0.01</v>
      </c>
      <c r="D6" s="19" t="n">
        <v>-0.01</v>
      </c>
      <c r="E6" s="19" t="n">
        <v>0</v>
      </c>
      <c r="F6" s="19" t="n">
        <v>0</v>
      </c>
      <c r="G6" s="19" t="n">
        <v>0</v>
      </c>
    </row>
    <row r="7" customFormat="false" ht="15" hidden="false" customHeight="false" outlineLevel="0" collapsed="false">
      <c r="A7" s="6" t="s">
        <v>90</v>
      </c>
      <c r="B7" s="23" t="n">
        <f aca="false">B15/956.641-1</f>
        <v>0.150166049751161</v>
      </c>
      <c r="C7" s="19" t="n">
        <v>0.1</v>
      </c>
      <c r="D7" s="19" t="n">
        <v>0.09</v>
      </c>
      <c r="E7" s="19" t="n">
        <v>0.08</v>
      </c>
      <c r="F7" s="19" t="n">
        <v>0.07</v>
      </c>
      <c r="G7" s="19" t="n">
        <v>0.06</v>
      </c>
    </row>
    <row r="8" customFormat="false" ht="15" hidden="false" customHeight="false" outlineLevel="0" collapsed="false">
      <c r="A8" s="6" t="s">
        <v>91</v>
      </c>
      <c r="B8" s="23" t="n">
        <f aca="false">B18/B16</f>
        <v>0.229273403039855</v>
      </c>
      <c r="C8" s="23" t="n">
        <f aca="false">B8</f>
        <v>0.229273403039855</v>
      </c>
      <c r="D8" s="23" t="n">
        <f aca="false">C8</f>
        <v>0.229273403039855</v>
      </c>
      <c r="E8" s="23" t="n">
        <f aca="false">D8</f>
        <v>0.229273403039855</v>
      </c>
      <c r="F8" s="23" t="n">
        <f aca="false">E8</f>
        <v>0.229273403039855</v>
      </c>
      <c r="G8" s="23" t="n">
        <f aca="false">F8</f>
        <v>0.229273403039855</v>
      </c>
    </row>
    <row r="9" customFormat="false" ht="15" hidden="false" customHeight="false" outlineLevel="0" collapsed="false">
      <c r="A9" s="6" t="s">
        <v>92</v>
      </c>
      <c r="B9" s="23" t="n">
        <f aca="false">-B19/B16</f>
        <v>0.0502612902444361</v>
      </c>
      <c r="C9" s="23" t="n">
        <f aca="false">B9</f>
        <v>0.0502612902444361</v>
      </c>
      <c r="D9" s="23" t="n">
        <f aca="false">C9</f>
        <v>0.0502612902444361</v>
      </c>
      <c r="E9" s="23" t="n">
        <f aca="false">D9</f>
        <v>0.0502612902444361</v>
      </c>
      <c r="F9" s="23" t="n">
        <f aca="false">E9</f>
        <v>0.0502612902444361</v>
      </c>
      <c r="G9" s="23" t="n">
        <f aca="false">F9</f>
        <v>0.0502612902444361</v>
      </c>
    </row>
    <row r="10" customFormat="false" ht="15" hidden="false" customHeight="false" outlineLevel="0" collapsed="false">
      <c r="A10" s="6" t="s">
        <v>93</v>
      </c>
      <c r="B10" s="24" t="n">
        <f aca="false">Assumptions!$B$23/B16</f>
        <v>0.0313119395285537</v>
      </c>
      <c r="C10" s="23" t="n">
        <f aca="false">B10</f>
        <v>0.0313119395285537</v>
      </c>
      <c r="D10" s="23" t="n">
        <f aca="false">C10</f>
        <v>0.0313119395285537</v>
      </c>
      <c r="E10" s="23" t="n">
        <f aca="false">D10</f>
        <v>0.0313119395285537</v>
      </c>
      <c r="F10" s="23" t="n">
        <f aca="false">E10</f>
        <v>0.0313119395285537</v>
      </c>
      <c r="G10" s="23" t="n">
        <f aca="false">F10</f>
        <v>0.0313119395285537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14" t="s">
        <v>94</v>
      </c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6" t="s">
        <v>95</v>
      </c>
      <c r="B14" s="25" t="n">
        <f aca="false">Assumptions!$B$19</f>
        <v>1417.785</v>
      </c>
      <c r="C14" s="26" t="n">
        <f aca="false">B14*(1+C6)</f>
        <v>1403.60715</v>
      </c>
      <c r="D14" s="26" t="n">
        <f aca="false">C14*(1+D6)</f>
        <v>1389.5710785</v>
      </c>
      <c r="E14" s="26" t="n">
        <f aca="false">D14*(1+E6)</f>
        <v>1389.5710785</v>
      </c>
      <c r="F14" s="26" t="n">
        <f aca="false">E14*(1+F6)</f>
        <v>1389.5710785</v>
      </c>
      <c r="G14" s="26" t="n">
        <f aca="false">F14*(1+G6)</f>
        <v>1389.5710785</v>
      </c>
    </row>
    <row r="15" customFormat="false" ht="15" hidden="false" customHeight="false" outlineLevel="0" collapsed="false">
      <c r="A15" s="6" t="s">
        <v>96</v>
      </c>
      <c r="B15" s="25" t="n">
        <f aca="false">Assumptions!$B$20</f>
        <v>1100.296</v>
      </c>
      <c r="C15" s="26" t="n">
        <f aca="false">B15*(1+C7)</f>
        <v>1210.3256</v>
      </c>
      <c r="D15" s="26" t="n">
        <f aca="false">C15*(1+D7)</f>
        <v>1319.254904</v>
      </c>
      <c r="E15" s="26" t="n">
        <f aca="false">D15*(1+E7)</f>
        <v>1424.79529632</v>
      </c>
      <c r="F15" s="26" t="n">
        <f aca="false">E15*(1+F7)</f>
        <v>1524.5309670624</v>
      </c>
      <c r="G15" s="26" t="n">
        <f aca="false">F15*(1+G7)</f>
        <v>1616.00282508614</v>
      </c>
    </row>
    <row r="16" customFormat="false" ht="15" hidden="false" customHeight="false" outlineLevel="0" collapsed="false">
      <c r="A16" s="27" t="s">
        <v>97</v>
      </c>
      <c r="B16" s="28" t="n">
        <f aca="false">B14+B15</f>
        <v>2518.081</v>
      </c>
      <c r="C16" s="28" t="n">
        <f aca="false">C14+C15</f>
        <v>2613.93275</v>
      </c>
      <c r="D16" s="28" t="n">
        <f aca="false">D14+D15</f>
        <v>2708.8259825</v>
      </c>
      <c r="E16" s="28" t="n">
        <f aca="false">E14+E15</f>
        <v>2814.36637482</v>
      </c>
      <c r="F16" s="28" t="n">
        <f aca="false">F14+F15</f>
        <v>2914.1020455624</v>
      </c>
      <c r="G16" s="28" t="n">
        <f aca="false">G14+G15</f>
        <v>3005.57390358614</v>
      </c>
    </row>
    <row r="17" customFormat="false" ht="15" hidden="false" customHeight="false" outlineLevel="0" collapsed="false">
      <c r="A17" s="6" t="s">
        <v>98</v>
      </c>
      <c r="B17" s="23" t="n">
        <f aca="false">B16/2405.317-1</f>
        <v>0.0468811387438746</v>
      </c>
      <c r="C17" s="23" t="n">
        <f aca="false">C16/B16-1</f>
        <v>0.0380653958311905</v>
      </c>
      <c r="D17" s="23" t="n">
        <f aca="false">D16/C16-1</f>
        <v>0.0363028591688139</v>
      </c>
      <c r="E17" s="23" t="n">
        <f aca="false">E16/D16-1</f>
        <v>0.0389616730649476</v>
      </c>
      <c r="F17" s="23" t="n">
        <f aca="false">F16/E16-1</f>
        <v>0.0354380551284046</v>
      </c>
      <c r="G17" s="23" t="n">
        <f aca="false">G16/F16-1</f>
        <v>0.0313893805342327</v>
      </c>
    </row>
    <row r="18" customFormat="false" ht="15" hidden="false" customHeight="false" outlineLevel="0" collapsed="false">
      <c r="A18" s="27" t="s">
        <v>99</v>
      </c>
      <c r="B18" s="29" t="n">
        <f aca="false">Assumptions!$B$21+Assumptions!$B$22</f>
        <v>577.329</v>
      </c>
      <c r="C18" s="28" t="n">
        <f aca="false">C16*C8</f>
        <v>599.305256909825</v>
      </c>
      <c r="D18" s="28" t="n">
        <f aca="false">D16*D8</f>
        <v>621.061751250553</v>
      </c>
      <c r="E18" s="28" t="n">
        <f aca="false">E16*E8</f>
        <v>645.25935615592</v>
      </c>
      <c r="F18" s="28" t="n">
        <f aca="false">F16*F8</f>
        <v>668.126092791493</v>
      </c>
      <c r="G18" s="28" t="n">
        <f aca="false">G16*G8</f>
        <v>689.098156962975</v>
      </c>
    </row>
    <row r="19" customFormat="false" ht="15" hidden="false" customHeight="false" outlineLevel="0" collapsed="false">
      <c r="A19" s="6" t="s">
        <v>100</v>
      </c>
      <c r="B19" s="25" t="n">
        <f aca="false">-Assumptions!$B$22</f>
        <v>-126.562</v>
      </c>
      <c r="C19" s="26" t="n">
        <f aca="false">-C16*C9</f>
        <v>-131.379632627187</v>
      </c>
      <c r="D19" s="26" t="n">
        <f aca="false">-D16*D9</f>
        <v>-136.149088928102</v>
      </c>
      <c r="E19" s="26" t="n">
        <f aca="false">-E16*E9</f>
        <v>-141.45368521901</v>
      </c>
      <c r="F19" s="26" t="n">
        <f aca="false">-F16*F9</f>
        <v>-146.466528713917</v>
      </c>
      <c r="G19" s="26" t="n">
        <f aca="false">-G16*G9</f>
        <v>-151.064022319246</v>
      </c>
    </row>
    <row r="20" customFormat="false" ht="15" hidden="false" customHeight="false" outlineLevel="0" collapsed="false">
      <c r="A20" s="27" t="s">
        <v>101</v>
      </c>
      <c r="B20" s="28" t="n">
        <f aca="false">B18+B19</f>
        <v>450.767</v>
      </c>
      <c r="C20" s="28" t="n">
        <f aca="false">C18+C19</f>
        <v>467.925624282638</v>
      </c>
      <c r="D20" s="28" t="n">
        <f aca="false">D18+D19</f>
        <v>484.91266232245</v>
      </c>
      <c r="E20" s="28" t="n">
        <f aca="false">E18+E19</f>
        <v>503.805670936911</v>
      </c>
      <c r="F20" s="28" t="n">
        <f aca="false">F18+F19</f>
        <v>521.659564077576</v>
      </c>
      <c r="G20" s="28" t="n">
        <f aca="false">G18+G19</f>
        <v>538.034134643729</v>
      </c>
    </row>
    <row r="21" customFormat="false" ht="15" hidden="false" customHeight="false" outlineLevel="0" collapsed="false">
      <c r="A21" s="6" t="s">
        <v>102</v>
      </c>
      <c r="B21" s="2"/>
      <c r="C21" s="26" t="n">
        <f aca="false">-(B34*Assumptions!$B$31+B35*Assumptions!$B$32)</f>
        <v>-205.181089658186</v>
      </c>
      <c r="D21" s="26" t="n">
        <f aca="false">-(C34*Assumptions!$B$31+C35*Assumptions!$B$32)</f>
        <v>-186.81315919251</v>
      </c>
      <c r="E21" s="26" t="n">
        <f aca="false">-(D34*Assumptions!$B$31+D35*Assumptions!$B$32)</f>
        <v>-166.243434873229</v>
      </c>
      <c r="F21" s="26" t="n">
        <f aca="false">-(E34*Assumptions!$B$31+E35*Assumptions!$B$32)</f>
        <v>-143.30746074285</v>
      </c>
      <c r="G21" s="26" t="n">
        <f aca="false">-(F34*Assumptions!$B$31+F35*Assumptions!$B$32)</f>
        <v>-117.809119704322</v>
      </c>
    </row>
    <row r="22" customFormat="false" ht="15" hidden="false" customHeight="false" outlineLevel="0" collapsed="false">
      <c r="A22" s="6" t="s">
        <v>103</v>
      </c>
      <c r="B22" s="2"/>
      <c r="C22" s="26" t="n">
        <f aca="false">C20+C21</f>
        <v>262.744534624452</v>
      </c>
      <c r="D22" s="26" t="n">
        <f aca="false">D20+D21</f>
        <v>298.09950312994</v>
      </c>
      <c r="E22" s="26" t="n">
        <f aca="false">E20+E21</f>
        <v>337.562236063682</v>
      </c>
      <c r="F22" s="26" t="n">
        <f aca="false">F20+F21</f>
        <v>378.352103334726</v>
      </c>
      <c r="G22" s="26" t="n">
        <f aca="false">G20+G21</f>
        <v>420.225014939407</v>
      </c>
    </row>
    <row r="23" customFormat="false" ht="15" hidden="false" customHeight="false" outlineLevel="0" collapsed="false">
      <c r="A23" s="6" t="s">
        <v>104</v>
      </c>
      <c r="B23" s="2"/>
      <c r="C23" s="26" t="n">
        <f aca="false">-MAX(C22,0)*Assumptions!$B$37</f>
        <v>-65.6861336561131</v>
      </c>
      <c r="D23" s="26" t="n">
        <f aca="false">-MAX(D22,0)*Assumptions!$B$37</f>
        <v>-74.5248757824851</v>
      </c>
      <c r="E23" s="26" t="n">
        <f aca="false">-MAX(E22,0)*Assumptions!$B$37</f>
        <v>-84.3905590159205</v>
      </c>
      <c r="F23" s="26" t="n">
        <f aca="false">-MAX(F22,0)*Assumptions!$B$37</f>
        <v>-94.5880258336815</v>
      </c>
      <c r="G23" s="26" t="n">
        <f aca="false">-MAX(G22,0)*Assumptions!$B$37</f>
        <v>-105.056253734852</v>
      </c>
    </row>
    <row r="24" customFormat="false" ht="15" hidden="false" customHeight="false" outlineLevel="0" collapsed="false">
      <c r="A24" s="27" t="s">
        <v>105</v>
      </c>
      <c r="B24" s="2"/>
      <c r="C24" s="28" t="n">
        <f aca="false">C22+C23</f>
        <v>197.058400968339</v>
      </c>
      <c r="D24" s="28" t="n">
        <f aca="false">D22+D23</f>
        <v>223.574627347455</v>
      </c>
      <c r="E24" s="28" t="n">
        <f aca="false">E22+E23</f>
        <v>253.171677047761</v>
      </c>
      <c r="F24" s="28" t="n">
        <f aca="false">F22+F23</f>
        <v>283.764077501045</v>
      </c>
      <c r="G24" s="28" t="n">
        <f aca="false">G22+G23</f>
        <v>315.168761204555</v>
      </c>
    </row>
    <row r="25" customFormat="false" ht="15" hidden="false" customHeight="false" outlineLevel="0" collapsed="false">
      <c r="A25" s="6" t="s">
        <v>106</v>
      </c>
      <c r="B25" s="2"/>
      <c r="C25" s="26" t="n">
        <f aca="false">-C19</f>
        <v>131.379632627187</v>
      </c>
      <c r="D25" s="26" t="n">
        <f aca="false">-D19</f>
        <v>136.149088928102</v>
      </c>
      <c r="E25" s="26" t="n">
        <f aca="false">-E19</f>
        <v>141.45368521901</v>
      </c>
      <c r="F25" s="26" t="n">
        <f aca="false">-F19</f>
        <v>146.466528713917</v>
      </c>
      <c r="G25" s="26" t="n">
        <f aca="false">-G19</f>
        <v>151.064022319246</v>
      </c>
    </row>
    <row r="26" customFormat="false" ht="15" hidden="false" customHeight="false" outlineLevel="0" collapsed="false">
      <c r="A26" s="6" t="s">
        <v>107</v>
      </c>
      <c r="B26" s="2"/>
      <c r="C26" s="26" t="n">
        <f aca="false">-C16*C10</f>
        <v>-81.847304199706</v>
      </c>
      <c r="D26" s="26" t="n">
        <f aca="false">-D16*D10</f>
        <v>-84.8185953574151</v>
      </c>
      <c r="E26" s="26" t="n">
        <f aca="false">-E16*E10</f>
        <v>-88.1232697395587</v>
      </c>
      <c r="F26" s="26" t="n">
        <f aca="false">-F16*F10</f>
        <v>-91.2461870306845</v>
      </c>
      <c r="G26" s="26" t="n">
        <f aca="false">-G16*G10</f>
        <v>-94.1103483176884</v>
      </c>
    </row>
    <row r="27" customFormat="false" ht="15" hidden="false" customHeight="false" outlineLevel="0" collapsed="false">
      <c r="A27" s="6" t="s">
        <v>108</v>
      </c>
      <c r="B27" s="2"/>
      <c r="C27" s="26" t="n">
        <f aca="false">-(C16-B16)*Assumptions!$B$38</f>
        <v>-9.58517499999998</v>
      </c>
      <c r="D27" s="26" t="n">
        <f aca="false">-(D16-C16)*Assumptions!$B$38</f>
        <v>-9.48932325000005</v>
      </c>
      <c r="E27" s="26" t="n">
        <f aca="false">-(E16-D16)*Assumptions!$B$38</f>
        <v>-10.554039232</v>
      </c>
      <c r="F27" s="26" t="n">
        <f aca="false">-(F16-E16)*Assumptions!$B$38</f>
        <v>-9.97356707423996</v>
      </c>
      <c r="G27" s="26" t="n">
        <f aca="false">-(G16-F16)*Assumptions!$B$38</f>
        <v>-9.14718580237441</v>
      </c>
    </row>
    <row r="28" customFormat="false" ht="15" hidden="false" customHeight="false" outlineLevel="0" collapsed="false">
      <c r="A28" s="27" t="s">
        <v>109</v>
      </c>
      <c r="B28" s="2"/>
      <c r="C28" s="28" t="n">
        <f aca="false">C24+C25+C26+C27</f>
        <v>237.00555439582</v>
      </c>
      <c r="D28" s="28" t="n">
        <f aca="false">D24+D25+D26+D27</f>
        <v>265.415797668143</v>
      </c>
      <c r="E28" s="28" t="n">
        <f aca="false">E24+E25+E26+E27</f>
        <v>295.948053295212</v>
      </c>
      <c r="F28" s="28" t="n">
        <f aca="false">F24+F25+F26+F27</f>
        <v>329.010852110037</v>
      </c>
      <c r="G28" s="28" t="n">
        <f aca="false">G24+G25+G26+G27</f>
        <v>362.975249403739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14" t="s">
        <v>110</v>
      </c>
      <c r="B30" s="15"/>
      <c r="C30" s="15"/>
      <c r="D30" s="15"/>
      <c r="E30" s="15"/>
      <c r="F30" s="15"/>
      <c r="G30" s="15"/>
    </row>
    <row r="31" customFormat="false" ht="15" hidden="false" customHeight="false" outlineLevel="0" collapsed="false">
      <c r="A31" s="6" t="s">
        <v>111</v>
      </c>
      <c r="B31" s="2"/>
      <c r="C31" s="26" t="n">
        <f aca="false">B34</f>
        <v>1767.71400320899</v>
      </c>
      <c r="D31" s="26" t="n">
        <f aca="false">C34</f>
        <v>1530.70844881317</v>
      </c>
      <c r="E31" s="26" t="n">
        <f aca="false">D34</f>
        <v>1265.29265114502</v>
      </c>
      <c r="F31" s="26" t="n">
        <f aca="false">E34</f>
        <v>969.344597849811</v>
      </c>
      <c r="G31" s="26" t="n">
        <f aca="false">F34</f>
        <v>640.333745739774</v>
      </c>
    </row>
    <row r="32" customFormat="false" ht="15" hidden="false" customHeight="false" outlineLevel="0" collapsed="false">
      <c r="A32" s="6" t="s">
        <v>112</v>
      </c>
      <c r="B32" s="2"/>
      <c r="C32" s="26" t="n">
        <f aca="false">-MIN($B$53*Assumptions!$B$33,C31)</f>
        <v>-17.6771400320899</v>
      </c>
      <c r="D32" s="26" t="n">
        <f aca="false">-MIN($B$53*Assumptions!$B$33,D31)</f>
        <v>-17.6771400320899</v>
      </c>
      <c r="E32" s="26" t="n">
        <f aca="false">-MIN($B$53*Assumptions!$B$33,E31)</f>
        <v>-17.6771400320899</v>
      </c>
      <c r="F32" s="26" t="n">
        <f aca="false">-MIN($B$53*Assumptions!$B$33,F31)</f>
        <v>-17.6771400320899</v>
      </c>
      <c r="G32" s="26" t="n">
        <f aca="false">-MIN($B$53*Assumptions!$B$33,G31)</f>
        <v>-17.6771400320899</v>
      </c>
    </row>
    <row r="33" customFormat="false" ht="15" hidden="false" customHeight="false" outlineLevel="0" collapsed="false">
      <c r="A33" s="6" t="s">
        <v>113</v>
      </c>
      <c r="B33" s="2"/>
      <c r="C33" s="26" t="n">
        <f aca="false">-MIN(MAX(C28+C32,0)*Assumptions!$B$34,C31+C32)</f>
        <v>-219.32841436373</v>
      </c>
      <c r="D33" s="26" t="n">
        <f aca="false">-MIN(MAX(D28+D32,0)*Assumptions!$B$34,D31+D32)</f>
        <v>-247.738657636053</v>
      </c>
      <c r="E33" s="26" t="n">
        <f aca="false">-MIN(MAX(E28+E32,0)*Assumptions!$B$34,E31+E32)</f>
        <v>-278.270913263122</v>
      </c>
      <c r="F33" s="26" t="n">
        <f aca="false">-MIN(MAX(F28+F32,0)*Assumptions!$B$34,F31+F32)</f>
        <v>-311.333712077947</v>
      </c>
      <c r="G33" s="26" t="n">
        <f aca="false">-MIN(MAX(G28+G32,0)*Assumptions!$B$34,G31+G32)</f>
        <v>-345.298109371649</v>
      </c>
    </row>
    <row r="34" customFormat="false" ht="15" hidden="false" customHeight="false" outlineLevel="0" collapsed="false">
      <c r="A34" s="27" t="s">
        <v>114</v>
      </c>
      <c r="B34" s="28" t="n">
        <f aca="false">B53</f>
        <v>1767.71400320899</v>
      </c>
      <c r="C34" s="28" t="n">
        <f aca="false">C31+C32+C33</f>
        <v>1530.70844881317</v>
      </c>
      <c r="D34" s="28" t="n">
        <f aca="false">D31+D32+D33</f>
        <v>1265.29265114502</v>
      </c>
      <c r="E34" s="28" t="n">
        <f aca="false">E31+E32+E33</f>
        <v>969.344597849811</v>
      </c>
      <c r="F34" s="28" t="n">
        <f aca="false">F31+F32+F33</f>
        <v>640.333745739774</v>
      </c>
      <c r="G34" s="28" t="n">
        <f aca="false">G31+G32+G33</f>
        <v>277.358496336035</v>
      </c>
    </row>
    <row r="35" customFormat="false" ht="15" hidden="false" customHeight="false" outlineLevel="0" collapsed="false">
      <c r="A35" s="6" t="s">
        <v>115</v>
      </c>
      <c r="B35" s="26" t="n">
        <f aca="false">B54</f>
        <v>757.591715660994</v>
      </c>
      <c r="C35" s="26" t="n">
        <f aca="false">B35</f>
        <v>757.591715660994</v>
      </c>
      <c r="D35" s="26" t="n">
        <f aca="false">C35</f>
        <v>757.591715660994</v>
      </c>
      <c r="E35" s="26" t="n">
        <f aca="false">D35</f>
        <v>757.591715660994</v>
      </c>
      <c r="F35" s="26" t="n">
        <f aca="false">E35</f>
        <v>757.591715660994</v>
      </c>
      <c r="G35" s="26" t="n">
        <f aca="false">F35</f>
        <v>757.591715660994</v>
      </c>
    </row>
    <row r="36" customFormat="false" ht="15" hidden="false" customHeight="false" outlineLevel="0" collapsed="false">
      <c r="A36" s="27" t="s">
        <v>116</v>
      </c>
      <c r="B36" s="28" t="n">
        <f aca="false">B34+B35</f>
        <v>2525.30571886998</v>
      </c>
      <c r="C36" s="28" t="n">
        <f aca="false">C34+C35</f>
        <v>2288.30016447416</v>
      </c>
      <c r="D36" s="28" t="n">
        <f aca="false">D34+D35</f>
        <v>2022.88436680602</v>
      </c>
      <c r="E36" s="28" t="n">
        <f aca="false">E34+E35</f>
        <v>1726.9363135108</v>
      </c>
      <c r="F36" s="28" t="n">
        <f aca="false">F34+F35</f>
        <v>1397.92546140077</v>
      </c>
      <c r="G36" s="28" t="n">
        <f aca="false">G34+G35</f>
        <v>1034.95021199703</v>
      </c>
    </row>
    <row r="37" customFormat="false" ht="15" hidden="false" customHeight="false" outlineLevel="0" collapsed="false">
      <c r="A37" s="6" t="s">
        <v>117</v>
      </c>
      <c r="B37" s="25" t="n">
        <f aca="false">Assumptions!$B$10</f>
        <v>100</v>
      </c>
      <c r="C37" s="26" t="n">
        <f aca="false">B37+C28+C32+C33</f>
        <v>100</v>
      </c>
      <c r="D37" s="26" t="n">
        <f aca="false">C37+D28+D32+D33</f>
        <v>100</v>
      </c>
      <c r="E37" s="26" t="n">
        <f aca="false">D37+E28+E32+E33</f>
        <v>100</v>
      </c>
      <c r="F37" s="26" t="n">
        <f aca="false">E37+F28+F32+F33</f>
        <v>100</v>
      </c>
      <c r="G37" s="26" t="n">
        <f aca="false">F37+G28+G32+G33</f>
        <v>100</v>
      </c>
    </row>
    <row r="38" customFormat="false" ht="15" hidden="false" customHeight="false" outlineLevel="0" collapsed="false">
      <c r="A38" s="27" t="s">
        <v>118</v>
      </c>
      <c r="B38" s="28" t="n">
        <f aca="false">B36-B37</f>
        <v>2425.30571886998</v>
      </c>
      <c r="C38" s="28" t="n">
        <f aca="false">C36-C37</f>
        <v>2188.30016447416</v>
      </c>
      <c r="D38" s="28" t="n">
        <f aca="false">D36-D37</f>
        <v>1922.88436680602</v>
      </c>
      <c r="E38" s="28" t="n">
        <f aca="false">E36-E37</f>
        <v>1626.9363135108</v>
      </c>
      <c r="F38" s="28" t="n">
        <f aca="false">F36-F37</f>
        <v>1297.92546140077</v>
      </c>
      <c r="G38" s="28" t="n">
        <f aca="false">G36-G37</f>
        <v>934.950211997029</v>
      </c>
    </row>
    <row r="39" customFormat="false" ht="15" hidden="false" customHeight="false" outlineLevel="0" collapsed="false">
      <c r="A39" s="6" t="s">
        <v>119</v>
      </c>
      <c r="B39" s="30" t="n">
        <f aca="false">B36/B18</f>
        <v>4.37411894928192</v>
      </c>
      <c r="C39" s="30" t="n">
        <f aca="false">C36/C18</f>
        <v>3.81825478433684</v>
      </c>
      <c r="D39" s="30" t="n">
        <f aca="false">D36/D18</f>
        <v>3.25713886378093</v>
      </c>
      <c r="E39" s="30" t="n">
        <f aca="false">E36/E18</f>
        <v>2.67634447611715</v>
      </c>
      <c r="F39" s="30" t="n">
        <f aca="false">F36/F18</f>
        <v>2.09230783901899</v>
      </c>
      <c r="G39" s="30" t="n">
        <f aca="false">G36/G18</f>
        <v>1.50189084318308</v>
      </c>
    </row>
    <row r="40" customFormat="false" ht="15" hidden="false" customHeight="false" outlineLevel="0" collapsed="false">
      <c r="A40" s="6" t="s">
        <v>120</v>
      </c>
      <c r="B40" s="30" t="n">
        <f aca="false">B38/B18</f>
        <v>4.20090748753307</v>
      </c>
      <c r="C40" s="30" t="n">
        <f aca="false">C38/C18</f>
        <v>3.65139490976203</v>
      </c>
      <c r="D40" s="30" t="n">
        <f aca="false">D38/D18</f>
        <v>3.09612427900149</v>
      </c>
      <c r="E40" s="30" t="n">
        <f aca="false">E38/E18</f>
        <v>2.52136803285294</v>
      </c>
      <c r="F40" s="30" t="n">
        <f aca="false">F38/F18</f>
        <v>1.94263549261774</v>
      </c>
      <c r="G40" s="30" t="n">
        <f aca="false">G38/G18</f>
        <v>1.35677363601955</v>
      </c>
    </row>
    <row r="41" customFormat="false" ht="15" hidden="false" customHeight="false" outlineLevel="0" collapsed="false">
      <c r="A41" s="6" t="s">
        <v>121</v>
      </c>
      <c r="B41" s="2"/>
      <c r="C41" s="30" t="n">
        <f aca="false">IF(C21=0,0,C18/-C21)</f>
        <v>2.92086009440839</v>
      </c>
      <c r="D41" s="30" t="n">
        <f aca="false">IF(D21=0,0,D18/-D21)</f>
        <v>3.32450751293463</v>
      </c>
      <c r="E41" s="30" t="n">
        <f aca="false">IF(E21=0,0,E18/-E21)</f>
        <v>3.8814125601289</v>
      </c>
      <c r="F41" s="30" t="n">
        <f aca="false">IF(F21=0,0,F18/-F21)</f>
        <v>4.66218638812096</v>
      </c>
      <c r="G41" s="30" t="n">
        <f aca="false">IF(G21=0,0,G18/-G21)</f>
        <v>5.84927685303547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5" hidden="false" customHeight="false" outlineLevel="0" collapsed="false">
      <c r="A44" s="14" t="s">
        <v>122</v>
      </c>
      <c r="B44" s="15"/>
      <c r="C44" s="15"/>
      <c r="D44" s="15"/>
      <c r="E44" s="15"/>
      <c r="F44" s="15"/>
      <c r="G44" s="15"/>
    </row>
    <row r="45" customFormat="false" ht="15" hidden="false" customHeight="false" outlineLevel="0" collapsed="false">
      <c r="A45" s="31" t="s">
        <v>123</v>
      </c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6" t="s">
        <v>124</v>
      </c>
      <c r="B46" s="7" t="n">
        <f aca="false">Assumptions!$B$6*(1+Assumptions!$B$8)</f>
        <v>107.107</v>
      </c>
      <c r="C46" s="2"/>
      <c r="D46" s="2"/>
      <c r="E46" s="2"/>
      <c r="F46" s="2"/>
      <c r="G46" s="2"/>
    </row>
    <row r="47" customFormat="false" ht="15" hidden="false" customHeight="false" outlineLevel="0" collapsed="false">
      <c r="A47" s="6" t="s">
        <v>125</v>
      </c>
      <c r="B47" s="25" t="n">
        <f aca="false">B46*Assumptions!$B$7</f>
        <v>4451.350318415</v>
      </c>
      <c r="C47" s="2"/>
      <c r="D47" s="2"/>
      <c r="E47" s="2"/>
      <c r="F47" s="2"/>
      <c r="G47" s="2"/>
    </row>
    <row r="48" customFormat="false" ht="15" hidden="false" customHeight="false" outlineLevel="0" collapsed="false">
      <c r="A48" s="6" t="s">
        <v>126</v>
      </c>
      <c r="B48" s="25" t="n">
        <f aca="false">Assumptions!$B$15+Assumptions!$B$16</f>
        <v>534.927</v>
      </c>
      <c r="C48" s="2"/>
      <c r="D48" s="2"/>
      <c r="E48" s="2"/>
      <c r="F48" s="2"/>
      <c r="G48" s="2"/>
    </row>
    <row r="49" customFormat="false" ht="15" hidden="false" customHeight="false" outlineLevel="0" collapsed="false">
      <c r="A49" s="6" t="s">
        <v>127</v>
      </c>
      <c r="B49" s="25" t="n">
        <f aca="false">B59*Assumptions!$B$9</f>
        <v>80.5655463683</v>
      </c>
      <c r="C49" s="2"/>
      <c r="D49" s="2"/>
      <c r="E49" s="2"/>
      <c r="F49" s="2"/>
      <c r="G49" s="2"/>
    </row>
    <row r="50" customFormat="false" ht="15" hidden="false" customHeight="false" outlineLevel="0" collapsed="false">
      <c r="A50" s="27" t="s">
        <v>128</v>
      </c>
      <c r="B50" s="28" t="n">
        <f aca="false">B47+B48+B49</f>
        <v>5066.8428647833</v>
      </c>
      <c r="C50" s="2"/>
      <c r="D50" s="2"/>
      <c r="E50" s="2"/>
      <c r="F50" s="2"/>
      <c r="G50" s="2"/>
    </row>
    <row r="51" customFormat="false" ht="15" hidden="false" customHeight="false" outlineLevel="0" collapsed="false">
      <c r="A51" s="31" t="s">
        <v>129</v>
      </c>
      <c r="B51" s="2"/>
      <c r="C51" s="2"/>
      <c r="D51" s="2"/>
      <c r="E51" s="2"/>
      <c r="F51" s="2"/>
      <c r="G51" s="2"/>
    </row>
    <row r="52" customFormat="false" ht="15" hidden="false" customHeight="false" outlineLevel="0" collapsed="false">
      <c r="A52" s="6" t="s">
        <v>130</v>
      </c>
      <c r="B52" s="25" t="n">
        <f aca="false">MAX(Assumptions!$B$13+Assumptions!$B$14-Assumptions!$B$10,0)</f>
        <v>858</v>
      </c>
      <c r="C52" s="2"/>
      <c r="D52" s="2"/>
      <c r="E52" s="2"/>
      <c r="F52" s="2"/>
      <c r="G52" s="2"/>
    </row>
    <row r="53" customFormat="false" ht="15" hidden="false" customHeight="false" outlineLevel="0" collapsed="false">
      <c r="A53" s="6" t="s">
        <v>131</v>
      </c>
      <c r="B53" s="25" t="n">
        <f aca="false">B63*Assumptions!$B$30</f>
        <v>1767.71400320899</v>
      </c>
      <c r="C53" s="2"/>
      <c r="D53" s="2"/>
      <c r="E53" s="2"/>
      <c r="F53" s="2"/>
      <c r="G53" s="2"/>
    </row>
    <row r="54" customFormat="false" ht="15" hidden="false" customHeight="false" outlineLevel="0" collapsed="false">
      <c r="A54" s="6" t="s">
        <v>132</v>
      </c>
      <c r="B54" s="26" t="n">
        <f aca="false">B63-B53</f>
        <v>757.591715660994</v>
      </c>
      <c r="C54" s="2"/>
      <c r="D54" s="2"/>
      <c r="E54" s="2"/>
      <c r="F54" s="2"/>
      <c r="G54" s="2"/>
    </row>
    <row r="55" customFormat="false" ht="15" hidden="false" customHeight="false" outlineLevel="0" collapsed="false">
      <c r="A55" s="27" t="s">
        <v>133</v>
      </c>
      <c r="B55" s="32" t="n">
        <f aca="false">B50-B52-B53-B54</f>
        <v>1683.53714591332</v>
      </c>
      <c r="C55" s="2"/>
      <c r="D55" s="2"/>
      <c r="E55" s="2"/>
      <c r="F55" s="2"/>
      <c r="G55" s="2"/>
    </row>
    <row r="56" customFormat="false" ht="15" hidden="false" customHeight="false" outlineLevel="0" collapsed="false">
      <c r="A56" s="27" t="s">
        <v>134</v>
      </c>
      <c r="B56" s="28" t="n">
        <f aca="false">B52+B53+B54+B55</f>
        <v>5066.8428647833</v>
      </c>
      <c r="C56" s="6" t="str">
        <f aca="false">IF(ABS(B56-B50)&lt;0.01,"balances","CHECK")</f>
        <v>balances</v>
      </c>
      <c r="D56" s="2"/>
      <c r="E56" s="2"/>
      <c r="F56" s="2"/>
      <c r="G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14" t="s">
        <v>135</v>
      </c>
      <c r="B58" s="15"/>
      <c r="C58" s="15"/>
      <c r="D58" s="15"/>
      <c r="E58" s="15"/>
      <c r="F58" s="15"/>
      <c r="G58" s="15"/>
    </row>
    <row r="59" customFormat="false" ht="15" hidden="false" customHeight="false" outlineLevel="0" collapsed="false">
      <c r="A59" s="27" t="s">
        <v>136</v>
      </c>
      <c r="B59" s="29" t="n">
        <f aca="false">B47+Assumptions!$B$15+Assumptions!$B$16-Assumptions!$B$13-Assumptions!$B$14</f>
        <v>4028.277318415</v>
      </c>
      <c r="C59" s="2"/>
      <c r="D59" s="2"/>
      <c r="E59" s="2"/>
      <c r="F59" s="2"/>
      <c r="G59" s="2"/>
    </row>
    <row r="60" customFormat="false" ht="15" hidden="false" customHeight="false" outlineLevel="0" collapsed="false">
      <c r="A60" s="6" t="s">
        <v>137</v>
      </c>
      <c r="B60" s="26" t="n">
        <f aca="false">B18</f>
        <v>577.329</v>
      </c>
      <c r="C60" s="2"/>
      <c r="D60" s="2"/>
      <c r="E60" s="2"/>
      <c r="F60" s="2"/>
      <c r="G60" s="2"/>
    </row>
    <row r="61" customFormat="false" ht="15" hidden="false" customHeight="false" outlineLevel="0" collapsed="false">
      <c r="A61" s="6" t="s">
        <v>138</v>
      </c>
      <c r="B61" s="33" t="n">
        <f aca="false">B59/B60</f>
        <v>6.97743802652387</v>
      </c>
      <c r="C61" s="2"/>
      <c r="D61" s="2"/>
      <c r="E61" s="2"/>
      <c r="F61" s="2"/>
      <c r="G61" s="2"/>
    </row>
    <row r="62" customFormat="false" ht="15" hidden="false" customHeight="false" outlineLevel="0" collapsed="false">
      <c r="A62" s="6" t="s">
        <v>139</v>
      </c>
      <c r="B62" s="24" t="n">
        <f aca="false">Assumptions!$B$30*Assumptions!$B$31+(1-Assumptions!$B$30)*Assumptions!$B$32</f>
        <v>0.08125</v>
      </c>
      <c r="C62" s="2"/>
      <c r="D62" s="2"/>
      <c r="E62" s="2"/>
      <c r="F62" s="2"/>
      <c r="G62" s="2"/>
    </row>
    <row r="63" customFormat="false" ht="15" hidden="false" customHeight="false" outlineLevel="0" collapsed="false">
      <c r="A63" s="27" t="s">
        <v>140</v>
      </c>
      <c r="B63" s="29" t="n">
        <f aca="false">MIN(Assumptions!$B$27*B60,(1-Assumptions!$B$28)*(B50-B52),B60/(Assumptions!$B$29*B62))</f>
        <v>2525.30571886998</v>
      </c>
      <c r="C63" s="2"/>
      <c r="D63" s="2"/>
      <c r="E63" s="2"/>
      <c r="F63" s="2"/>
      <c r="G63" s="2"/>
    </row>
    <row r="64" customFormat="false" ht="15" hidden="false" customHeight="false" outlineLevel="0" collapsed="false">
      <c r="A64" s="6" t="s">
        <v>141</v>
      </c>
      <c r="B64" s="30" t="n">
        <f aca="false">B63/B60</f>
        <v>4.37411894928192</v>
      </c>
      <c r="C64" s="2"/>
      <c r="D64" s="2"/>
      <c r="E64" s="2"/>
      <c r="F64" s="2"/>
      <c r="G64" s="2"/>
    </row>
    <row r="65" customFormat="false" ht="15" hidden="false" customHeight="false" outlineLevel="0" collapsed="false">
      <c r="A65" s="6" t="s">
        <v>142</v>
      </c>
      <c r="B65" s="23" t="n">
        <f aca="false">B55/(B50-B52)</f>
        <v>0.4</v>
      </c>
      <c r="C65" s="2"/>
      <c r="D65" s="2"/>
      <c r="E65" s="2"/>
      <c r="F65" s="2"/>
      <c r="G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5" hidden="false" customHeight="false" outlineLevel="0" collapsed="false">
      <c r="A67" s="14" t="s">
        <v>143</v>
      </c>
      <c r="B67" s="15"/>
      <c r="C67" s="15"/>
      <c r="D67" s="15"/>
      <c r="E67" s="15"/>
      <c r="F67" s="15"/>
      <c r="G67" s="15"/>
    </row>
    <row r="68" customFormat="false" ht="15" hidden="false" customHeight="false" outlineLevel="0" collapsed="false">
      <c r="A68" s="6" t="s">
        <v>144</v>
      </c>
      <c r="B68" s="9" t="n">
        <f aca="false">B61+Assumptions!$B$39</f>
        <v>6.97743802652387</v>
      </c>
      <c r="C68" s="2"/>
      <c r="D68" s="2"/>
      <c r="E68" s="2"/>
      <c r="F68" s="2"/>
      <c r="G68" s="2"/>
    </row>
    <row r="69" customFormat="false" ht="15" hidden="false" customHeight="false" outlineLevel="0" collapsed="false">
      <c r="A69" s="6" t="s">
        <v>145</v>
      </c>
      <c r="B69" s="26" t="n">
        <f aca="false">G18</f>
        <v>689.098156962975</v>
      </c>
      <c r="C69" s="2"/>
      <c r="D69" s="2"/>
      <c r="E69" s="2"/>
      <c r="F69" s="2"/>
      <c r="G69" s="2"/>
    </row>
    <row r="70" customFormat="false" ht="15" hidden="false" customHeight="false" outlineLevel="0" collapsed="false">
      <c r="A70" s="27" t="s">
        <v>146</v>
      </c>
      <c r="B70" s="28" t="n">
        <f aca="false">B68*B69</f>
        <v>4808.13968440098</v>
      </c>
      <c r="C70" s="2"/>
      <c r="D70" s="2"/>
      <c r="E70" s="2"/>
      <c r="F70" s="2"/>
      <c r="G70" s="2"/>
    </row>
    <row r="71" customFormat="false" ht="15" hidden="false" customHeight="false" outlineLevel="0" collapsed="false">
      <c r="A71" s="6" t="s">
        <v>147</v>
      </c>
      <c r="B71" s="26" t="n">
        <f aca="false">-G38</f>
        <v>-934.950211997029</v>
      </c>
      <c r="C71" s="2"/>
      <c r="D71" s="2"/>
      <c r="E71" s="2"/>
      <c r="F71" s="2"/>
      <c r="G71" s="2"/>
    </row>
    <row r="72" customFormat="false" ht="15" hidden="false" customHeight="false" outlineLevel="0" collapsed="false">
      <c r="A72" s="27" t="s">
        <v>148</v>
      </c>
      <c r="B72" s="28" t="n">
        <f aca="false">B70+B71</f>
        <v>3873.18947240395</v>
      </c>
      <c r="C72" s="2"/>
      <c r="D72" s="2"/>
      <c r="E72" s="2"/>
      <c r="F72" s="2"/>
      <c r="G72" s="2"/>
    </row>
    <row r="73" customFormat="false" ht="15" hidden="false" customHeight="false" outlineLevel="0" collapsed="false">
      <c r="A73" s="27" t="s">
        <v>149</v>
      </c>
      <c r="B73" s="34" t="n">
        <f aca="false">B72/B55</f>
        <v>2.3006260846729</v>
      </c>
      <c r="C73" s="2"/>
      <c r="D73" s="2"/>
      <c r="E73" s="2"/>
      <c r="F73" s="2"/>
      <c r="G73" s="2"/>
    </row>
    <row r="74" customFormat="false" ht="15" hidden="false" customHeight="false" outlineLevel="0" collapsed="false">
      <c r="A74" s="27" t="s">
        <v>150</v>
      </c>
      <c r="B74" s="35" t="n">
        <f aca="false">IRR(B76:G76)</f>
        <v>0.181324491380861</v>
      </c>
      <c r="C74" s="2"/>
      <c r="D74" s="2"/>
      <c r="E74" s="2"/>
      <c r="F74" s="2"/>
      <c r="G74" s="2"/>
    </row>
    <row r="75" customFormat="false" ht="15" hidden="false" customHeight="false" outlineLevel="0" collapsed="false">
      <c r="A75" s="2"/>
      <c r="B75" s="36" t="s">
        <v>82</v>
      </c>
      <c r="C75" s="36" t="s">
        <v>83</v>
      </c>
      <c r="D75" s="36" t="s">
        <v>84</v>
      </c>
      <c r="E75" s="36" t="s">
        <v>85</v>
      </c>
      <c r="F75" s="36" t="s">
        <v>86</v>
      </c>
      <c r="G75" s="36" t="s">
        <v>87</v>
      </c>
    </row>
    <row r="76" customFormat="false" ht="15" hidden="false" customHeight="false" outlineLevel="0" collapsed="false">
      <c r="A76" s="6" t="s">
        <v>151</v>
      </c>
      <c r="B76" s="26" t="n">
        <f aca="false">-B55</f>
        <v>-1683.53714591332</v>
      </c>
      <c r="C76" s="20" t="n">
        <v>0</v>
      </c>
      <c r="D76" s="20" t="n">
        <v>0</v>
      </c>
      <c r="E76" s="20" t="n">
        <v>0</v>
      </c>
      <c r="F76" s="20" t="n">
        <v>0</v>
      </c>
      <c r="G76" s="26" t="n">
        <f aca="false">B72</f>
        <v>3873.18947240395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9" min="7" style="0" width="13"/>
  </cols>
  <sheetData>
    <row r="1" customFormat="false" ht="17.35" hidden="false" customHeight="false" outlineLevel="0" collapsed="false">
      <c r="A1" s="1" t="s">
        <v>152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153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7" t="s">
        <v>154</v>
      </c>
      <c r="B4" s="2"/>
      <c r="C4" s="2"/>
      <c r="D4" s="2"/>
      <c r="E4" s="2"/>
      <c r="F4" s="37" t="s">
        <v>155</v>
      </c>
      <c r="G4" s="2"/>
      <c r="H4" s="2"/>
      <c r="I4" s="2"/>
    </row>
    <row r="5" customFormat="false" ht="15" hidden="false" customHeight="false" outlineLevel="0" collapsed="false">
      <c r="A5" s="4" t="s">
        <v>156</v>
      </c>
      <c r="B5" s="5" t="s">
        <v>85</v>
      </c>
      <c r="C5" s="5" t="s">
        <v>86</v>
      </c>
      <c r="D5" s="5" t="s">
        <v>87</v>
      </c>
      <c r="E5" s="2"/>
      <c r="F5" s="4" t="s">
        <v>156</v>
      </c>
      <c r="G5" s="5" t="s">
        <v>85</v>
      </c>
      <c r="H5" s="5" t="s">
        <v>86</v>
      </c>
      <c r="I5" s="5" t="s">
        <v>87</v>
      </c>
    </row>
    <row r="6" customFormat="false" ht="15" hidden="false" customHeight="false" outlineLevel="0" collapsed="false">
      <c r="A6" s="9" t="n">
        <f aca="false">LBO!$B$61+(-2)</f>
        <v>4.97743802652387</v>
      </c>
      <c r="B6" s="24" t="n">
        <f aca="false">((A6*LBO!$E$18-LBO!$E$38)/LBO!$B$55)^(1/3)-1</f>
        <v>-0.0199442473992204</v>
      </c>
      <c r="C6" s="24" t="n">
        <f aca="false">((A6*LBO!$F$18-LBO!$F$38)/LBO!$B$55)^(1/4)-1</f>
        <v>0.0475904771394815</v>
      </c>
      <c r="D6" s="24" t="n">
        <f aca="false">((A6*LBO!$G$18-LBO!$G$38)/LBO!$B$55)^(1/5)-1</f>
        <v>0.081855684007248</v>
      </c>
      <c r="E6" s="2"/>
      <c r="F6" s="9" t="n">
        <f aca="false">LBO!$B$61+(-2)</f>
        <v>4.97743802652387</v>
      </c>
      <c r="G6" s="38" t="n">
        <f aca="false">(F6*LBO!$E$18-LBO!$E$38)/LBO!$B$55</f>
        <v>0.941352643532096</v>
      </c>
      <c r="H6" s="38" t="n">
        <f aca="false">(F6*LBO!$F$18-LBO!$F$38)/LBO!$B$55</f>
        <v>1.20438730104315</v>
      </c>
      <c r="I6" s="38" t="n">
        <f aca="false">(F6*LBO!$G$18-LBO!$G$38)/LBO!$B$55</f>
        <v>1.48199471840252</v>
      </c>
    </row>
    <row r="7" customFormat="false" ht="15" hidden="false" customHeight="false" outlineLevel="0" collapsed="false">
      <c r="A7" s="9" t="n">
        <f aca="false">LBO!$B$61+(-1)</f>
        <v>5.97743802652387</v>
      </c>
      <c r="B7" s="24" t="n">
        <f aca="false">((A7*LBO!$E$18-LBO!$E$38)/LBO!$B$55)^(1/3)-1</f>
        <v>0.0982419928359732</v>
      </c>
      <c r="C7" s="24" t="n">
        <f aca="false">((A7*LBO!$F$18-LBO!$F$38)/LBO!$B$55)^(1/4)-1</f>
        <v>0.12490152010079</v>
      </c>
      <c r="D7" s="24" t="n">
        <f aca="false">((A7*LBO!$G$18-LBO!$G$38)/LBO!$B$55)^(1/5)-1</f>
        <v>0.135932596639673</v>
      </c>
      <c r="E7" s="2"/>
      <c r="F7" s="9" t="n">
        <f aca="false">LBO!$B$61+(-1)</f>
        <v>5.97743802652387</v>
      </c>
      <c r="G7" s="38" t="n">
        <f aca="false">(F7*LBO!$E$18-LBO!$E$38)/LBO!$B$55</f>
        <v>1.32462862750563</v>
      </c>
      <c r="H7" s="38" t="n">
        <f aca="false">(F7*LBO!$F$18-LBO!$F$38)/LBO!$B$55</f>
        <v>1.60124584046613</v>
      </c>
      <c r="I7" s="38" t="n">
        <f aca="false">(F7*LBO!$G$18-LBO!$G$38)/LBO!$B$55</f>
        <v>1.89131040153771</v>
      </c>
    </row>
    <row r="8" customFormat="false" ht="15" hidden="false" customHeight="false" outlineLevel="0" collapsed="false">
      <c r="A8" s="39" t="n">
        <f aca="false">LBO!$B$61+(0)</f>
        <v>6.97743802652387</v>
      </c>
      <c r="B8" s="24" t="n">
        <f aca="false">((A8*LBO!$E$18-LBO!$E$38)/LBO!$B$55)^(1/3)-1</f>
        <v>0.195330140276419</v>
      </c>
      <c r="C8" s="24" t="n">
        <f aca="false">((A8*LBO!$F$18-LBO!$F$38)/LBO!$B$55)^(1/4)-1</f>
        <v>0.188925229177193</v>
      </c>
      <c r="D8" s="40" t="n">
        <f aca="false">((A8*LBO!$G$18-LBO!$G$38)/LBO!$B$55)^(1/5)-1</f>
        <v>0.181324491380861</v>
      </c>
      <c r="E8" s="2"/>
      <c r="F8" s="39" t="n">
        <f aca="false">LBO!$B$61+(0)</f>
        <v>6.97743802652387</v>
      </c>
      <c r="G8" s="38" t="n">
        <f aca="false">(F8*LBO!$E$18-LBO!$E$38)/LBO!$B$55</f>
        <v>1.70790461147916</v>
      </c>
      <c r="H8" s="38" t="n">
        <f aca="false">(F8*LBO!$F$18-LBO!$F$38)/LBO!$B$55</f>
        <v>1.99810437988911</v>
      </c>
      <c r="I8" s="41" t="n">
        <f aca="false">(F8*LBO!$G$18-LBO!$G$38)/LBO!$B$55</f>
        <v>2.3006260846729</v>
      </c>
    </row>
    <row r="9" customFormat="false" ht="15" hidden="false" customHeight="false" outlineLevel="0" collapsed="false">
      <c r="A9" s="9" t="n">
        <f aca="false">LBO!$B$61+(1)</f>
        <v>7.97743802652387</v>
      </c>
      <c r="B9" s="24" t="n">
        <f aca="false">((A9*LBO!$E$18-LBO!$E$38)/LBO!$B$55)^(1/3)-1</f>
        <v>0.278783959724068</v>
      </c>
      <c r="C9" s="24" t="n">
        <f aca="false">((A9*LBO!$F$18-LBO!$F$38)/LBO!$B$55)^(1/4)-1</f>
        <v>0.244012368821698</v>
      </c>
      <c r="D9" s="24" t="n">
        <f aca="false">((A9*LBO!$G$18-LBO!$G$38)/LBO!$B$55)^(1/5)-1</f>
        <v>0.220652350490222</v>
      </c>
      <c r="E9" s="2"/>
      <c r="F9" s="9" t="n">
        <f aca="false">LBO!$B$61+(1)</f>
        <v>7.97743802652387</v>
      </c>
      <c r="G9" s="38" t="n">
        <f aca="false">(F9*LBO!$E$18-LBO!$E$38)/LBO!$B$55</f>
        <v>2.09118059545269</v>
      </c>
      <c r="H9" s="38" t="n">
        <f aca="false">(F9*LBO!$F$18-LBO!$F$38)/LBO!$B$55</f>
        <v>2.39496291931209</v>
      </c>
      <c r="I9" s="38" t="n">
        <f aca="false">(F9*LBO!$G$18-LBO!$G$38)/LBO!$B$55</f>
        <v>2.70994176780809</v>
      </c>
    </row>
    <row r="10" customFormat="false" ht="15" hidden="false" customHeight="false" outlineLevel="0" collapsed="false">
      <c r="A10" s="9" t="n">
        <f aca="false">LBO!$B$61+(2)</f>
        <v>8.97743802652387</v>
      </c>
      <c r="B10" s="24" t="n">
        <f aca="false">((A10*LBO!$E$18-LBO!$E$38)/LBO!$B$55)^(1/3)-1</f>
        <v>0.352570608126878</v>
      </c>
      <c r="C10" s="24" t="n">
        <f aca="false">((A10*LBO!$F$18-LBO!$F$38)/LBO!$B$55)^(1/4)-1</f>
        <v>0.292623092513129</v>
      </c>
      <c r="D10" s="24" t="n">
        <f aca="false">((A10*LBO!$G$18-LBO!$G$38)/LBO!$B$55)^(1/5)-1</f>
        <v>0.255481287897683</v>
      </c>
      <c r="E10" s="2"/>
      <c r="F10" s="9" t="n">
        <f aca="false">LBO!$B$61+(2)</f>
        <v>8.97743802652387</v>
      </c>
      <c r="G10" s="38" t="n">
        <f aca="false">(F10*LBO!$E$18-LBO!$E$38)/LBO!$B$55</f>
        <v>2.47445657942623</v>
      </c>
      <c r="H10" s="38" t="n">
        <f aca="false">(F10*LBO!$F$18-LBO!$F$38)/LBO!$B$55</f>
        <v>2.79182145873507</v>
      </c>
      <c r="I10" s="38" t="n">
        <f aca="false">(F10*LBO!$G$18-LBO!$G$38)/LBO!$B$55</f>
        <v>3.11925745094327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3" t="s">
        <v>157</v>
      </c>
      <c r="B13" s="2"/>
      <c r="C13" s="2"/>
      <c r="D13" s="2"/>
      <c r="E13" s="2"/>
      <c r="F13" s="2"/>
      <c r="G13" s="2"/>
      <c r="H13" s="2"/>
      <c r="I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5" t="s">
        <v>166</v>
      </c>
      <c r="H4" s="5" t="s">
        <v>167</v>
      </c>
      <c r="I4" s="5" t="s">
        <v>168</v>
      </c>
      <c r="J4" s="5" t="s">
        <v>169</v>
      </c>
    </row>
    <row r="5" customFormat="false" ht="15" hidden="false" customHeight="false" outlineLevel="0" collapsed="false">
      <c r="A5" s="42" t="n">
        <v>1</v>
      </c>
      <c r="B5" s="42" t="s">
        <v>170</v>
      </c>
      <c r="C5" s="42" t="s">
        <v>171</v>
      </c>
      <c r="D5" s="42" t="s">
        <v>172</v>
      </c>
      <c r="E5" s="43" t="n">
        <v>3424.11562955</v>
      </c>
      <c r="F5" s="43" t="n">
        <v>474.763</v>
      </c>
      <c r="G5" s="44" t="n">
        <v>0.197380636315296</v>
      </c>
      <c r="H5" s="45" t="n">
        <v>9.20761373235699</v>
      </c>
      <c r="I5" s="46" t="n">
        <v>2.78791929191936</v>
      </c>
      <c r="J5" s="44" t="n">
        <v>0.227597624665792</v>
      </c>
    </row>
    <row r="6" customFormat="false" ht="15" hidden="false" customHeight="false" outlineLevel="0" collapsed="false">
      <c r="A6" s="6" t="n">
        <v>2</v>
      </c>
      <c r="B6" s="6" t="s">
        <v>173</v>
      </c>
      <c r="C6" s="6" t="s">
        <v>174</v>
      </c>
      <c r="D6" s="6" t="s">
        <v>175</v>
      </c>
      <c r="E6" s="47" t="n">
        <v>645.71887324</v>
      </c>
      <c r="F6" s="47" t="n">
        <v>78.768</v>
      </c>
      <c r="G6" s="19" t="n">
        <v>0.188156606072188</v>
      </c>
      <c r="H6" s="22" t="n">
        <v>8.77657849903514</v>
      </c>
      <c r="I6" s="48" t="n">
        <v>2.58049833138472</v>
      </c>
      <c r="J6" s="19" t="n">
        <v>0.208761771603319</v>
      </c>
    </row>
    <row r="7" customFormat="false" ht="15" hidden="false" customHeight="false" outlineLevel="0" collapsed="false">
      <c r="A7" s="6" t="n">
        <v>3</v>
      </c>
      <c r="B7" s="6" t="s">
        <v>176</v>
      </c>
      <c r="C7" s="6" t="s">
        <v>177</v>
      </c>
      <c r="D7" s="6" t="s">
        <v>178</v>
      </c>
      <c r="E7" s="47" t="n">
        <v>6777.85749173</v>
      </c>
      <c r="F7" s="47" t="n">
        <v>844.802</v>
      </c>
      <c r="G7" s="19" t="n">
        <v>0.286820902702826</v>
      </c>
      <c r="H7" s="22" t="n">
        <v>9.98083188634615</v>
      </c>
      <c r="I7" s="48" t="n">
        <v>2.52195456507606</v>
      </c>
      <c r="J7" s="19" t="n">
        <v>0.203226675451341</v>
      </c>
    </row>
    <row r="8" customFormat="false" ht="15" hidden="false" customHeight="false" outlineLevel="0" collapsed="false">
      <c r="A8" s="6" t="n">
        <v>4</v>
      </c>
      <c r="B8" s="6" t="s">
        <v>179</v>
      </c>
      <c r="C8" s="6" t="s">
        <v>180</v>
      </c>
      <c r="D8" s="6" t="s">
        <v>181</v>
      </c>
      <c r="E8" s="47" t="n">
        <v>1501.2611783</v>
      </c>
      <c r="F8" s="47" t="n">
        <v>163.745</v>
      </c>
      <c r="G8" s="19" t="n">
        <v>0.398088629998444</v>
      </c>
      <c r="H8" s="22" t="n">
        <v>10.1281231902654</v>
      </c>
      <c r="I8" s="48" t="n">
        <v>2.49154582732608</v>
      </c>
      <c r="J8" s="19" t="n">
        <v>0.200310971822622</v>
      </c>
    </row>
    <row r="9" customFormat="false" ht="15" hidden="false" customHeight="false" outlineLevel="0" collapsed="false">
      <c r="A9" s="6" t="n">
        <v>5</v>
      </c>
      <c r="B9" s="6" t="s">
        <v>182</v>
      </c>
      <c r="C9" s="6" t="s">
        <v>183</v>
      </c>
      <c r="D9" s="6" t="s">
        <v>184</v>
      </c>
      <c r="E9" s="47" t="n">
        <v>1078.76078548</v>
      </c>
      <c r="F9" s="47" t="n">
        <v>234.613</v>
      </c>
      <c r="G9" s="19" t="n">
        <v>0.160150311784321</v>
      </c>
      <c r="H9" s="22" t="n">
        <v>6.00242536058957</v>
      </c>
      <c r="I9" s="48" t="n">
        <v>2.39995470466097</v>
      </c>
      <c r="J9" s="19" t="n">
        <v>0.191353401219817</v>
      </c>
    </row>
    <row r="10" customFormat="false" ht="15" hidden="false" customHeight="false" outlineLevel="0" collapsed="false">
      <c r="A10" s="6" t="n">
        <v>6</v>
      </c>
      <c r="B10" s="6" t="s">
        <v>185</v>
      </c>
      <c r="C10" s="6" t="s">
        <v>186</v>
      </c>
      <c r="D10" s="6" t="s">
        <v>187</v>
      </c>
      <c r="E10" s="47" t="n">
        <v>4426.45678431</v>
      </c>
      <c r="F10" s="47" t="n">
        <v>577.977518</v>
      </c>
      <c r="G10" s="19" t="n">
        <v>0.228064789484568</v>
      </c>
      <c r="H10" s="22" t="n">
        <v>9.7040938962664</v>
      </c>
      <c r="I10" s="48" t="n">
        <v>2.37986435097025</v>
      </c>
      <c r="J10" s="19" t="n">
        <v>0.189352091746539</v>
      </c>
    </row>
    <row r="11" customFormat="false" ht="15" hidden="false" customHeight="false" outlineLevel="0" collapsed="false">
      <c r="A11" s="6" t="n">
        <v>7</v>
      </c>
      <c r="B11" s="6" t="s">
        <v>188</v>
      </c>
      <c r="C11" s="6" t="s">
        <v>189</v>
      </c>
      <c r="D11" s="6" t="s">
        <v>181</v>
      </c>
      <c r="E11" s="47" t="n">
        <v>2210.07111435</v>
      </c>
      <c r="F11" s="47" t="n">
        <v>208.469</v>
      </c>
      <c r="G11" s="19" t="n">
        <v>0.240046381324033</v>
      </c>
      <c r="H11" s="22" t="n">
        <v>10.9572811720448</v>
      </c>
      <c r="I11" s="48" t="n">
        <v>2.33982563412978</v>
      </c>
      <c r="J11" s="19" t="n">
        <v>0.185322965587174</v>
      </c>
    </row>
    <row r="12" customFormat="false" ht="15" hidden="false" customHeight="false" outlineLevel="0" collapsed="false">
      <c r="A12" s="6" t="n">
        <v>8</v>
      </c>
      <c r="B12" s="6" t="s">
        <v>190</v>
      </c>
      <c r="C12" s="6" t="s">
        <v>191</v>
      </c>
      <c r="D12" s="6" t="s">
        <v>172</v>
      </c>
      <c r="E12" s="47" t="n">
        <v>2110.72406515</v>
      </c>
      <c r="F12" s="47" t="n">
        <v>237.627</v>
      </c>
      <c r="G12" s="19" t="n">
        <v>0.280851109094004</v>
      </c>
      <c r="H12" s="22" t="n">
        <v>11.0802698544147</v>
      </c>
      <c r="I12" s="48" t="n">
        <v>2.18152264294647</v>
      </c>
      <c r="J12" s="19" t="n">
        <v>0.168831601456707</v>
      </c>
    </row>
    <row r="13" customFormat="false" ht="15" hidden="false" customHeight="false" outlineLevel="0" collapsed="false">
      <c r="A13" s="6" t="n">
        <v>9</v>
      </c>
      <c r="B13" s="6" t="s">
        <v>192</v>
      </c>
      <c r="C13" s="6" t="s">
        <v>193</v>
      </c>
      <c r="D13" s="6" t="s">
        <v>194</v>
      </c>
      <c r="E13" s="47" t="n">
        <v>3984.43288853</v>
      </c>
      <c r="F13" s="47" t="n">
        <v>473.587</v>
      </c>
      <c r="G13" s="19" t="n">
        <v>0.161158508303668</v>
      </c>
      <c r="H13" s="22" t="n">
        <v>9.79704205370713</v>
      </c>
      <c r="I13" s="48" t="n">
        <v>2.11254624258366</v>
      </c>
      <c r="J13" s="19" t="n">
        <v>0.161344974220575</v>
      </c>
    </row>
    <row r="14" customFormat="false" ht="15" hidden="false" customHeight="false" outlineLevel="0" collapsed="false">
      <c r="A14" s="6" t="n">
        <v>10</v>
      </c>
      <c r="B14" s="6" t="s">
        <v>195</v>
      </c>
      <c r="C14" s="6" t="s">
        <v>196</v>
      </c>
      <c r="D14" s="6" t="s">
        <v>197</v>
      </c>
      <c r="E14" s="47" t="n">
        <v>1145.36688</v>
      </c>
      <c r="F14" s="47" t="n">
        <v>229.075</v>
      </c>
      <c r="G14" s="19" t="n">
        <v>0.153688799553442</v>
      </c>
      <c r="H14" s="22" t="n">
        <v>8.18170007202881</v>
      </c>
      <c r="I14" s="48" t="n">
        <v>2.11204676467421</v>
      </c>
      <c r="J14" s="19" t="n">
        <v>0.161290052722061</v>
      </c>
    </row>
    <row r="15" customFormat="false" ht="15" hidden="false" customHeight="false" outlineLevel="0" collapsed="false">
      <c r="A15" s="6" t="n">
        <v>11</v>
      </c>
      <c r="B15" s="6" t="s">
        <v>198</v>
      </c>
      <c r="C15" s="6" t="s">
        <v>199</v>
      </c>
      <c r="D15" s="6" t="s">
        <v>200</v>
      </c>
      <c r="E15" s="47" t="n">
        <v>6503.49261902</v>
      </c>
      <c r="F15" s="47" t="n">
        <v>854.164</v>
      </c>
      <c r="G15" s="19" t="n">
        <v>0.162194576373661</v>
      </c>
      <c r="H15" s="22" t="n">
        <v>9.00880908669295</v>
      </c>
      <c r="I15" s="48" t="n">
        <v>2.10055449863944</v>
      </c>
      <c r="J15" s="19" t="n">
        <v>0.160023509089358</v>
      </c>
    </row>
    <row r="16" customFormat="false" ht="15" hidden="false" customHeight="false" outlineLevel="0" collapsed="false">
      <c r="A16" s="6" t="n">
        <v>12</v>
      </c>
      <c r="B16" s="6" t="s">
        <v>201</v>
      </c>
      <c r="C16" s="6" t="s">
        <v>202</v>
      </c>
      <c r="D16" s="6" t="s">
        <v>203</v>
      </c>
      <c r="E16" s="47" t="n">
        <v>6260.96200482</v>
      </c>
      <c r="F16" s="47" t="n">
        <v>820.874</v>
      </c>
      <c r="G16" s="19" t="n">
        <v>0.161593219051084</v>
      </c>
      <c r="H16" s="22" t="n">
        <v>10.7540445991297</v>
      </c>
      <c r="I16" s="48" t="n">
        <v>2.07527099455866</v>
      </c>
      <c r="J16" s="19" t="n">
        <v>0.157217421625163</v>
      </c>
    </row>
    <row r="17" customFormat="false" ht="15" hidden="false" customHeight="false" outlineLevel="0" collapsed="false">
      <c r="A17" s="6" t="n">
        <v>13</v>
      </c>
      <c r="B17" s="6" t="s">
        <v>204</v>
      </c>
      <c r="C17" s="6" t="s">
        <v>205</v>
      </c>
      <c r="D17" s="6" t="s">
        <v>200</v>
      </c>
      <c r="E17" s="47" t="n">
        <v>2395.328181</v>
      </c>
      <c r="F17" s="47" t="n">
        <v>286.862</v>
      </c>
      <c r="G17" s="19" t="n">
        <v>0.22103117884785</v>
      </c>
      <c r="H17" s="22" t="n">
        <v>10.8551381336671</v>
      </c>
      <c r="I17" s="48" t="n">
        <v>2.00768916342191</v>
      </c>
      <c r="J17" s="19" t="n">
        <v>0.149580252764043</v>
      </c>
    </row>
    <row r="18" customFormat="false" ht="15" hidden="false" customHeight="false" outlineLevel="0" collapsed="false">
      <c r="A18" s="6" t="n">
        <v>14</v>
      </c>
      <c r="B18" s="6" t="s">
        <v>206</v>
      </c>
      <c r="C18" s="6" t="s">
        <v>207</v>
      </c>
      <c r="D18" s="6" t="s">
        <v>172</v>
      </c>
      <c r="E18" s="47" t="n">
        <v>5318.5027896</v>
      </c>
      <c r="F18" s="47" t="n">
        <v>505.597</v>
      </c>
      <c r="G18" s="19" t="n">
        <v>0.29707273507136</v>
      </c>
      <c r="H18" s="22" t="n">
        <v>13.5294980517685</v>
      </c>
      <c r="I18" s="48" t="n">
        <v>1.98905484341872</v>
      </c>
      <c r="J18" s="19" t="n">
        <v>0.147438325389524</v>
      </c>
    </row>
    <row r="19" customFormat="false" ht="15" hidden="false" customHeight="false" outlineLevel="0" collapsed="false">
      <c r="A19" s="6" t="n">
        <v>15</v>
      </c>
      <c r="B19" s="6" t="s">
        <v>208</v>
      </c>
      <c r="C19" s="6" t="s">
        <v>209</v>
      </c>
      <c r="D19" s="6" t="s">
        <v>210</v>
      </c>
      <c r="E19" s="47" t="n">
        <v>2412.61795232</v>
      </c>
      <c r="F19" s="47" t="n">
        <v>190.292</v>
      </c>
      <c r="G19" s="19" t="n">
        <v>0.18075294412666</v>
      </c>
      <c r="H19" s="22" t="n">
        <v>14.2983748030185</v>
      </c>
      <c r="I19" s="48" t="n">
        <v>1.93737204186678</v>
      </c>
      <c r="J19" s="19" t="n">
        <v>0.141412450813996</v>
      </c>
    </row>
    <row r="20" customFormat="false" ht="15" hidden="false" customHeight="false" outlineLevel="0" collapsed="false">
      <c r="A20" s="6" t="n">
        <v>16</v>
      </c>
      <c r="B20" s="6" t="s">
        <v>211</v>
      </c>
      <c r="C20" s="6" t="s">
        <v>212</v>
      </c>
      <c r="D20" s="6" t="s">
        <v>178</v>
      </c>
      <c r="E20" s="47" t="n">
        <v>5330.4367248</v>
      </c>
      <c r="F20" s="47" t="n">
        <v>426.862</v>
      </c>
      <c r="G20" s="19" t="n">
        <v>0.242565272289409</v>
      </c>
      <c r="H20" s="22" t="n">
        <v>17.6888871397313</v>
      </c>
      <c r="I20" s="48" t="n">
        <v>1.88172501252907</v>
      </c>
      <c r="J20" s="19" t="n">
        <v>0.134778846670479</v>
      </c>
    </row>
    <row r="21" customFormat="false" ht="15" hidden="false" customHeight="false" outlineLevel="0" collapsed="false">
      <c r="A21" s="6" t="n">
        <v>17</v>
      </c>
      <c r="B21" s="6" t="s">
        <v>213</v>
      </c>
      <c r="C21" s="6" t="s">
        <v>214</v>
      </c>
      <c r="D21" s="6" t="s">
        <v>215</v>
      </c>
      <c r="E21" s="47" t="n">
        <v>984.4895074</v>
      </c>
      <c r="F21" s="47" t="n">
        <v>90.815</v>
      </c>
      <c r="G21" s="19" t="n">
        <v>0.252950368082268</v>
      </c>
      <c r="H21" s="22" t="n">
        <v>12.9084992525464</v>
      </c>
      <c r="I21" s="48" t="n">
        <v>1.88135787027738</v>
      </c>
      <c r="J21" s="19" t="n">
        <v>0.134734562008589</v>
      </c>
    </row>
    <row r="22" customFormat="false" ht="15" hidden="false" customHeight="false" outlineLevel="0" collapsed="false">
      <c r="A22" s="6" t="n">
        <v>18</v>
      </c>
      <c r="B22" s="6" t="s">
        <v>216</v>
      </c>
      <c r="C22" s="6" t="s">
        <v>217</v>
      </c>
      <c r="D22" s="6" t="s">
        <v>218</v>
      </c>
      <c r="E22" s="47" t="n">
        <v>3398.85603183</v>
      </c>
      <c r="F22" s="47" t="n">
        <v>307.5</v>
      </c>
      <c r="G22" s="19" t="n">
        <v>0.215080086731482</v>
      </c>
      <c r="H22" s="22" t="n">
        <v>15.8354889150537</v>
      </c>
      <c r="I22" s="48" t="n">
        <v>1.86489200176206</v>
      </c>
      <c r="J22" s="19" t="n">
        <v>0.132741305200943</v>
      </c>
    </row>
    <row r="23" customFormat="false" ht="15" hidden="false" customHeight="false" outlineLevel="0" collapsed="false">
      <c r="A23" s="6" t="n">
        <v>19</v>
      </c>
      <c r="B23" s="6" t="s">
        <v>219</v>
      </c>
      <c r="C23" s="6" t="s">
        <v>220</v>
      </c>
      <c r="D23" s="6" t="s">
        <v>221</v>
      </c>
      <c r="E23" s="47" t="n">
        <v>1091.7314936</v>
      </c>
      <c r="F23" s="47" t="n">
        <v>109.02</v>
      </c>
      <c r="G23" s="19" t="n">
        <v>0.161184443971329</v>
      </c>
      <c r="H23" s="22" t="n">
        <v>12.243762077417</v>
      </c>
      <c r="I23" s="48" t="n">
        <v>1.84733483507768</v>
      </c>
      <c r="J23" s="19" t="n">
        <v>0.13060037183237</v>
      </c>
    </row>
    <row r="24" customFormat="false" ht="15" hidden="false" customHeight="false" outlineLevel="0" collapsed="false">
      <c r="A24" s="6" t="n">
        <v>20</v>
      </c>
      <c r="B24" s="6" t="s">
        <v>222</v>
      </c>
      <c r="C24" s="6" t="s">
        <v>223</v>
      </c>
      <c r="D24" s="6" t="s">
        <v>224</v>
      </c>
      <c r="E24" s="47" t="n">
        <v>2251.920663</v>
      </c>
      <c r="F24" s="47" t="n">
        <v>176.963</v>
      </c>
      <c r="G24" s="19" t="n">
        <v>0.399117247725458</v>
      </c>
      <c r="H24" s="22" t="n">
        <v>18.494345495386</v>
      </c>
      <c r="I24" s="48" t="n">
        <v>1.8443845193258</v>
      </c>
      <c r="J24" s="19" t="n">
        <v>0.130239012218048</v>
      </c>
    </row>
    <row r="25" customFormat="false" ht="15" hidden="false" customHeight="false" outlineLevel="0" collapsed="false">
      <c r="A25" s="6" t="n">
        <v>21</v>
      </c>
      <c r="B25" s="6" t="s">
        <v>225</v>
      </c>
      <c r="C25" s="6" t="s">
        <v>226</v>
      </c>
      <c r="D25" s="6" t="s">
        <v>227</v>
      </c>
      <c r="E25" s="47" t="n">
        <v>9077.95462775</v>
      </c>
      <c r="F25" s="47" t="n">
        <v>697</v>
      </c>
      <c r="G25" s="19" t="n">
        <v>0.160392120765832</v>
      </c>
      <c r="H25" s="22" t="n">
        <v>17.5354964362626</v>
      </c>
      <c r="I25" s="48" t="n">
        <v>1.83639450377326</v>
      </c>
      <c r="J25" s="19" t="n">
        <v>0.129258054447278</v>
      </c>
    </row>
    <row r="26" customFormat="false" ht="15" hidden="false" customHeight="false" outlineLevel="0" collapsed="false">
      <c r="A26" s="6" t="n">
        <v>22</v>
      </c>
      <c r="B26" s="6" t="s">
        <v>228</v>
      </c>
      <c r="C26" s="6" t="s">
        <v>229</v>
      </c>
      <c r="D26" s="6" t="s">
        <v>178</v>
      </c>
      <c r="E26" s="47" t="n">
        <v>2816.30638036</v>
      </c>
      <c r="F26" s="47" t="n">
        <v>164.457</v>
      </c>
      <c r="G26" s="19" t="n">
        <v>0.16263757346564</v>
      </c>
      <c r="H26" s="22" t="n">
        <v>16.4214006972522</v>
      </c>
      <c r="I26" s="48" t="n">
        <v>1.8324092245114</v>
      </c>
      <c r="J26" s="19" t="n">
        <v>0.128767493138913</v>
      </c>
    </row>
    <row r="27" customFormat="false" ht="15" hidden="false" customHeight="false" outlineLevel="0" collapsed="false">
      <c r="A27" s="6" t="n">
        <v>23</v>
      </c>
      <c r="B27" s="6" t="s">
        <v>230</v>
      </c>
      <c r="C27" s="6" t="s">
        <v>231</v>
      </c>
      <c r="D27" s="6" t="s">
        <v>232</v>
      </c>
      <c r="E27" s="47" t="n">
        <v>10928.85553692</v>
      </c>
      <c r="F27" s="47" t="n">
        <v>727.868</v>
      </c>
      <c r="G27" s="19" t="n">
        <v>0.204492342789073</v>
      </c>
      <c r="H27" s="22" t="n">
        <v>18.2105659240357</v>
      </c>
      <c r="I27" s="48" t="n">
        <v>1.81795864201669</v>
      </c>
      <c r="J27" s="19" t="n">
        <v>0.126981533364294</v>
      </c>
    </row>
    <row r="28" customFormat="false" ht="15" hidden="false" customHeight="false" outlineLevel="0" collapsed="false">
      <c r="A28" s="6" t="n">
        <v>24</v>
      </c>
      <c r="B28" s="6" t="s">
        <v>233</v>
      </c>
      <c r="C28" s="6" t="s">
        <v>234</v>
      </c>
      <c r="D28" s="6" t="s">
        <v>235</v>
      </c>
      <c r="E28" s="47" t="n">
        <v>2760.83268889</v>
      </c>
      <c r="F28" s="47" t="n">
        <v>350.692</v>
      </c>
      <c r="G28" s="19" t="n">
        <v>0.371403305321239</v>
      </c>
      <c r="H28" s="22" t="n">
        <v>10.2334455749119</v>
      </c>
      <c r="I28" s="48" t="n">
        <v>1.8093863613651</v>
      </c>
      <c r="J28" s="19" t="n">
        <v>0.125916704379451</v>
      </c>
    </row>
    <row r="29" customFormat="false" ht="15" hidden="false" customHeight="false" outlineLevel="0" collapsed="false">
      <c r="A29" s="6" t="n">
        <v>25</v>
      </c>
      <c r="B29" s="6" t="s">
        <v>236</v>
      </c>
      <c r="C29" s="6" t="s">
        <v>237</v>
      </c>
      <c r="D29" s="6" t="s">
        <v>238</v>
      </c>
      <c r="E29" s="47" t="n">
        <v>7106.91682016</v>
      </c>
      <c r="F29" s="47" t="n">
        <v>551.3</v>
      </c>
      <c r="G29" s="19" t="n">
        <v>0.340140671273445</v>
      </c>
      <c r="H29" s="22" t="n">
        <v>17.2731577475204</v>
      </c>
      <c r="I29" s="48" t="n">
        <v>1.79503298758262</v>
      </c>
      <c r="J29" s="19" t="n">
        <v>0.124124690414223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/>
      <c r="B32" s="37" t="s">
        <v>239</v>
      </c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/>
      <c r="B33" s="6" t="s">
        <v>240</v>
      </c>
      <c r="C33" s="2"/>
      <c r="D33" s="2"/>
      <c r="E33" s="49" t="n">
        <v>6154</v>
      </c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6" t="s">
        <v>241</v>
      </c>
      <c r="C34" s="2"/>
      <c r="D34" s="2"/>
      <c r="E34" s="49" t="n">
        <v>1034</v>
      </c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6" t="s">
        <v>242</v>
      </c>
      <c r="C35" s="2"/>
      <c r="D35" s="2"/>
      <c r="E35" s="49" t="n">
        <v>940</v>
      </c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6" t="s">
        <v>243</v>
      </c>
      <c r="C36" s="2"/>
      <c r="D36" s="2"/>
      <c r="E36" s="49" t="n">
        <v>896</v>
      </c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6" t="s">
        <v>244</v>
      </c>
      <c r="C37" s="2"/>
      <c r="D37" s="2"/>
      <c r="E37" s="49" t="n">
        <v>707</v>
      </c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6" t="s">
        <v>245</v>
      </c>
      <c r="C38" s="2"/>
      <c r="D38" s="2"/>
      <c r="E38" s="49" t="n">
        <v>570</v>
      </c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6" t="s">
        <v>246</v>
      </c>
      <c r="C39" s="2"/>
      <c r="D39" s="2"/>
      <c r="E39" s="49" t="n">
        <v>457</v>
      </c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6" t="s">
        <v>247</v>
      </c>
      <c r="C40" s="2"/>
      <c r="D40" s="2"/>
      <c r="E40" s="49" t="n">
        <v>263</v>
      </c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6" t="s">
        <v>248</v>
      </c>
      <c r="C41" s="2"/>
      <c r="D41" s="2"/>
      <c r="E41" s="49" t="n">
        <v>216</v>
      </c>
      <c r="F41" s="2"/>
      <c r="G41" s="2"/>
      <c r="H41" s="2"/>
      <c r="I41" s="2"/>
      <c r="J41" s="2"/>
    </row>
    <row r="42" customFormat="false" ht="15" hidden="false" customHeight="false" outlineLevel="0" collapsed="false">
      <c r="A42" s="2"/>
      <c r="B42" s="6" t="s">
        <v>249</v>
      </c>
      <c r="C42" s="2"/>
      <c r="D42" s="2"/>
      <c r="E42" s="49" t="n">
        <v>159</v>
      </c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6" t="s">
        <v>250</v>
      </c>
      <c r="C43" s="2"/>
      <c r="D43" s="2"/>
      <c r="E43" s="49" t="n">
        <v>133</v>
      </c>
      <c r="F43" s="2"/>
      <c r="G43" s="2"/>
      <c r="H43" s="2"/>
      <c r="I43" s="2"/>
      <c r="J43" s="2"/>
    </row>
    <row r="44" customFormat="false" ht="15" hidden="false" customHeight="false" outlineLevel="0" collapsed="false">
      <c r="A44" s="2"/>
      <c r="B44" s="6" t="s">
        <v>251</v>
      </c>
      <c r="C44" s="2"/>
      <c r="D44" s="2"/>
      <c r="E44" s="49" t="n">
        <v>107</v>
      </c>
      <c r="F44" s="2"/>
      <c r="G44" s="2"/>
      <c r="H44" s="2"/>
      <c r="I44" s="2"/>
      <c r="J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2026-10-18T04:24:45Z</dcterms:created>
  <dc:creator>openpyxl</dc:creator>
  <dc:description/>
  <dc:language>en-US</dc:language>
  <cp:lastModifiedBy/>
  <dcterms:modified xsi:type="dcterms:W3CDTF">2026-10-18T04:24:45Z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